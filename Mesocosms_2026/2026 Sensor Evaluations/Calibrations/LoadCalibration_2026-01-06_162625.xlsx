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li079\Documents\GitHub\SAFL-Mesocosms\Calibrations\"/>
    </mc:Choice>
  </mc:AlternateContent>
  <xr:revisionPtr revIDLastSave="0" documentId="13_ncr:1_{A7E013D7-834B-4BDE-9F93-DC9F9FEC4E5D}" xr6:coauthVersionLast="47" xr6:coauthVersionMax="47" xr10:uidLastSave="{00000000-0000-0000-0000-000000000000}"/>
  <bookViews>
    <workbookView xWindow="-24120" yWindow="660" windowWidth="24240" windowHeight="13020" xr2:uid="{B7532992-699C-4FBA-BAEA-5C2B991C3C2C}"/>
  </bookViews>
  <sheets>
    <sheet name="LoadCalibration_2026-01-06_1626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1" l="1" a="1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11" i="2"/>
  <c r="T30" i="2"/>
  <c r="S30" i="2"/>
  <c r="R30" i="2"/>
  <c r="T29" i="2"/>
  <c r="S29" i="2"/>
  <c r="R29" i="2"/>
  <c r="T28" i="2"/>
  <c r="S28" i="2"/>
  <c r="R28" i="2"/>
  <c r="T27" i="2"/>
  <c r="S27" i="2"/>
  <c r="R27" i="2"/>
  <c r="T26" i="2"/>
  <c r="S26" i="2"/>
  <c r="R26" i="2"/>
  <c r="T25" i="2"/>
  <c r="S25" i="2"/>
  <c r="R25" i="2"/>
  <c r="T24" i="2"/>
  <c r="S24" i="2"/>
  <c r="R24" i="2"/>
  <c r="T23" i="2"/>
  <c r="S23" i="2"/>
  <c r="R23" i="2"/>
  <c r="T22" i="2"/>
  <c r="S22" i="2"/>
  <c r="R22" i="2"/>
  <c r="T21" i="2"/>
  <c r="S21" i="2"/>
  <c r="R21" i="2"/>
  <c r="T20" i="2"/>
  <c r="S20" i="2"/>
  <c r="R20" i="2"/>
  <c r="T19" i="2"/>
  <c r="S19" i="2"/>
  <c r="R19" i="2"/>
  <c r="T18" i="2"/>
  <c r="S18" i="2"/>
  <c r="R18" i="2"/>
  <c r="T17" i="2"/>
  <c r="S17" i="2"/>
  <c r="R17" i="2"/>
  <c r="T16" i="2"/>
  <c r="S16" i="2"/>
  <c r="R16" i="2"/>
  <c r="T15" i="2"/>
  <c r="S15" i="2"/>
  <c r="R15" i="2"/>
  <c r="T14" i="2"/>
  <c r="S14" i="2"/>
  <c r="R14" i="2"/>
  <c r="T13" i="2"/>
  <c r="S13" i="2"/>
  <c r="R13" i="2"/>
  <c r="T12" i="2"/>
  <c r="S12" i="2"/>
  <c r="R12" i="2"/>
  <c r="T11" i="2"/>
  <c r="S11" i="2"/>
  <c r="R11" i="2"/>
  <c r="H5" i="2"/>
  <c r="G5" i="2"/>
  <c r="F5" i="2"/>
  <c r="I35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11" i="1"/>
  <c r="E5" i="1"/>
  <c r="E38" i="1"/>
  <c r="E35" i="1"/>
  <c r="E36" i="1"/>
  <c r="I36" i="1"/>
  <c r="E37" i="1"/>
  <c r="I37" i="1"/>
  <c r="I38" i="1"/>
  <c r="E39" i="1"/>
  <c r="I39" i="1"/>
  <c r="E40" i="1"/>
  <c r="I40" i="1"/>
  <c r="E41" i="1"/>
  <c r="I41" i="1"/>
  <c r="E42" i="1"/>
  <c r="I42" i="1"/>
  <c r="E43" i="1"/>
  <c r="I43" i="1"/>
  <c r="E44" i="1"/>
  <c r="I44" i="1"/>
  <c r="E45" i="1"/>
  <c r="I45" i="1"/>
  <c r="E46" i="1"/>
  <c r="I46" i="1"/>
  <c r="E47" i="1"/>
  <c r="I47" i="1"/>
  <c r="E48" i="1"/>
  <c r="I48" i="1"/>
  <c r="E49" i="1"/>
  <c r="I49" i="1"/>
  <c r="E50" i="1"/>
  <c r="I50" i="1"/>
  <c r="E51" i="1"/>
  <c r="I51" i="1"/>
  <c r="E52" i="1"/>
  <c r="I52" i="1"/>
  <c r="E53" i="1"/>
  <c r="I53" i="1"/>
  <c r="E54" i="1"/>
  <c r="I54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35" i="1"/>
  <c r="E33" i="1"/>
  <c r="I33" i="1"/>
  <c r="B33" i="1"/>
  <c r="F33" i="1"/>
  <c r="J33" i="1"/>
  <c r="C33" i="1"/>
  <c r="F5" i="1"/>
  <c r="G5" i="1"/>
  <c r="P12" i="1"/>
  <c r="S12" i="1" s="1"/>
  <c r="C36" i="1" s="1"/>
  <c r="D36" i="1" s="1"/>
  <c r="Q12" i="1"/>
  <c r="R12" i="1"/>
  <c r="P13" i="1"/>
  <c r="Q13" i="1"/>
  <c r="T13" i="1" s="1"/>
  <c r="F37" i="1" s="1"/>
  <c r="G37" i="1" s="1"/>
  <c r="R13" i="1"/>
  <c r="P14" i="1"/>
  <c r="Q14" i="1"/>
  <c r="R14" i="1"/>
  <c r="P15" i="1"/>
  <c r="S15" i="1" s="1"/>
  <c r="C39" i="1" s="1"/>
  <c r="D39" i="1" s="1"/>
  <c r="Q15" i="1"/>
  <c r="R15" i="1"/>
  <c r="U15" i="1" s="1"/>
  <c r="J39" i="1" s="1"/>
  <c r="K39" i="1" s="1"/>
  <c r="P16" i="1"/>
  <c r="S16" i="1" s="1"/>
  <c r="C40" i="1" s="1"/>
  <c r="D40" i="1" s="1"/>
  <c r="Q16" i="1"/>
  <c r="R16" i="1"/>
  <c r="P17" i="1"/>
  <c r="Q17" i="1"/>
  <c r="R17" i="1"/>
  <c r="P18" i="1"/>
  <c r="Q18" i="1"/>
  <c r="R18" i="1"/>
  <c r="U18" i="1" s="1"/>
  <c r="J42" i="1" s="1"/>
  <c r="K42" i="1" s="1"/>
  <c r="P19" i="1"/>
  <c r="S19" i="1" s="1"/>
  <c r="C43" i="1" s="1"/>
  <c r="D43" i="1" s="1"/>
  <c r="Q19" i="1"/>
  <c r="R19" i="1"/>
  <c r="P20" i="1"/>
  <c r="S20" i="1" s="1"/>
  <c r="C44" i="1" s="1"/>
  <c r="D44" i="1" s="1"/>
  <c r="Q20" i="1"/>
  <c r="R20" i="1"/>
  <c r="P21" i="1"/>
  <c r="Q21" i="1"/>
  <c r="R21" i="1"/>
  <c r="P22" i="1"/>
  <c r="Q22" i="1"/>
  <c r="R22" i="1"/>
  <c r="P23" i="1"/>
  <c r="Q23" i="1"/>
  <c r="R23" i="1"/>
  <c r="P24" i="1"/>
  <c r="Q24" i="1"/>
  <c r="R24" i="1"/>
  <c r="P25" i="1"/>
  <c r="Q25" i="1"/>
  <c r="R25" i="1"/>
  <c r="P26" i="1"/>
  <c r="Q26" i="1"/>
  <c r="R26" i="1"/>
  <c r="P27" i="1"/>
  <c r="S27" i="1" s="1"/>
  <c r="C51" i="1" s="1"/>
  <c r="D51" i="1" s="1"/>
  <c r="Q27" i="1"/>
  <c r="R27" i="1"/>
  <c r="P28" i="1"/>
  <c r="S28" i="1" s="1"/>
  <c r="C52" i="1" s="1"/>
  <c r="D52" i="1" s="1"/>
  <c r="Q28" i="1"/>
  <c r="R28" i="1"/>
  <c r="P29" i="1"/>
  <c r="S29" i="1" s="1"/>
  <c r="C53" i="1" s="1"/>
  <c r="D53" i="1" s="1"/>
  <c r="Q29" i="1"/>
  <c r="R29" i="1"/>
  <c r="P30" i="1"/>
  <c r="S30" i="1" s="1"/>
  <c r="C54" i="1" s="1"/>
  <c r="D54" i="1" s="1"/>
  <c r="Q30" i="1"/>
  <c r="R30" i="1"/>
  <c r="Q11" i="1"/>
  <c r="R11" i="1"/>
  <c r="P11" i="1"/>
  <c r="S11" i="1" s="1"/>
  <c r="C35" i="1" s="1"/>
  <c r="D35" i="1" s="1"/>
  <c r="O35" i="1" l="1"/>
  <c r="J11" i="2"/>
  <c r="J12" i="2"/>
  <c r="W30" i="2"/>
  <c r="V30" i="2"/>
  <c r="U30" i="2"/>
  <c r="J30" i="2"/>
  <c r="W29" i="2"/>
  <c r="V29" i="2"/>
  <c r="U29" i="2"/>
  <c r="J29" i="2"/>
  <c r="W28" i="2"/>
  <c r="V28" i="2"/>
  <c r="U28" i="2"/>
  <c r="J28" i="2"/>
  <c r="W27" i="2"/>
  <c r="V27" i="2"/>
  <c r="U27" i="2"/>
  <c r="J27" i="2"/>
  <c r="W26" i="2"/>
  <c r="V26" i="2"/>
  <c r="U26" i="2"/>
  <c r="J26" i="2"/>
  <c r="W25" i="2"/>
  <c r="V25" i="2"/>
  <c r="U25" i="2"/>
  <c r="J25" i="2"/>
  <c r="W24" i="2"/>
  <c r="V24" i="2"/>
  <c r="U24" i="2"/>
  <c r="J24" i="2"/>
  <c r="W23" i="2"/>
  <c r="V23" i="2"/>
  <c r="U23" i="2"/>
  <c r="J23" i="2"/>
  <c r="W22" i="2"/>
  <c r="V22" i="2"/>
  <c r="U22" i="2"/>
  <c r="J22" i="2"/>
  <c r="W21" i="2"/>
  <c r="V21" i="2"/>
  <c r="U21" i="2"/>
  <c r="J21" i="2"/>
  <c r="W20" i="2"/>
  <c r="V20" i="2"/>
  <c r="U20" i="2"/>
  <c r="J20" i="2"/>
  <c r="W19" i="2"/>
  <c r="V19" i="2"/>
  <c r="U19" i="2"/>
  <c r="J19" i="2"/>
  <c r="W18" i="2"/>
  <c r="V18" i="2"/>
  <c r="U18" i="2"/>
  <c r="J18" i="2"/>
  <c r="W17" i="2"/>
  <c r="V17" i="2"/>
  <c r="U17" i="2"/>
  <c r="J17" i="2"/>
  <c r="W16" i="2"/>
  <c r="V16" i="2"/>
  <c r="U16" i="2"/>
  <c r="J16" i="2"/>
  <c r="W15" i="2"/>
  <c r="V15" i="2"/>
  <c r="U15" i="2"/>
  <c r="J15" i="2"/>
  <c r="W14" i="2"/>
  <c r="V14" i="2"/>
  <c r="U14" i="2"/>
  <c r="J14" i="2"/>
  <c r="W13" i="2"/>
  <c r="V13" i="2"/>
  <c r="U13" i="2"/>
  <c r="J13" i="2"/>
  <c r="W12" i="2"/>
  <c r="V12" i="2"/>
  <c r="U12" i="2"/>
  <c r="W11" i="2"/>
  <c r="V11" i="2"/>
  <c r="U11" i="2"/>
  <c r="S21" i="1"/>
  <c r="C45" i="1" s="1"/>
  <c r="D45" i="1" s="1"/>
  <c r="S22" i="1"/>
  <c r="C46" i="1" s="1"/>
  <c r="D46" i="1" s="1"/>
  <c r="S24" i="1"/>
  <c r="C48" i="1" s="1"/>
  <c r="D48" i="1" s="1"/>
  <c r="S25" i="1"/>
  <c r="C49" i="1" s="1"/>
  <c r="D49" i="1" s="1"/>
  <c r="S26" i="1"/>
  <c r="C50" i="1" s="1"/>
  <c r="D50" i="1" s="1"/>
  <c r="U26" i="1"/>
  <c r="J50" i="1" s="1"/>
  <c r="K50" i="1" s="1"/>
  <c r="T28" i="1"/>
  <c r="F52" i="1" s="1"/>
  <c r="G52" i="1" s="1"/>
  <c r="U17" i="1"/>
  <c r="J41" i="1" s="1"/>
  <c r="K41" i="1" s="1"/>
  <c r="U27" i="1"/>
  <c r="J51" i="1" s="1"/>
  <c r="K51" i="1" s="1"/>
  <c r="U24" i="1"/>
  <c r="J48" i="1" s="1"/>
  <c r="K48" i="1" s="1"/>
  <c r="U16" i="1"/>
  <c r="J40" i="1" s="1"/>
  <c r="K40" i="1" s="1"/>
  <c r="U25" i="1"/>
  <c r="J49" i="1" s="1"/>
  <c r="K49" i="1" s="1"/>
  <c r="U29" i="1"/>
  <c r="J53" i="1" s="1"/>
  <c r="K53" i="1" s="1"/>
  <c r="T24" i="1"/>
  <c r="F48" i="1" s="1"/>
  <c r="G48" i="1" s="1"/>
  <c r="U21" i="1"/>
  <c r="J45" i="1" s="1"/>
  <c r="K45" i="1" s="1"/>
  <c r="T16" i="1"/>
  <c r="F40" i="1" s="1"/>
  <c r="G40" i="1" s="1"/>
  <c r="U13" i="1"/>
  <c r="J37" i="1" s="1"/>
  <c r="K37" i="1" s="1"/>
  <c r="U11" i="1"/>
  <c r="J35" i="1" s="1"/>
  <c r="K35" i="1" s="1"/>
  <c r="U28" i="1"/>
  <c r="J52" i="1" s="1"/>
  <c r="K52" i="1" s="1"/>
  <c r="U12" i="1"/>
  <c r="J36" i="1" s="1"/>
  <c r="K36" i="1" s="1"/>
  <c r="U23" i="1"/>
  <c r="J47" i="1" s="1"/>
  <c r="K47" i="1" s="1"/>
  <c r="T11" i="1"/>
  <c r="F35" i="1" s="1"/>
  <c r="G35" i="1" s="1"/>
  <c r="T20" i="1"/>
  <c r="F44" i="1" s="1"/>
  <c r="G44" i="1" s="1"/>
  <c r="U30" i="1"/>
  <c r="J54" i="1" s="1"/>
  <c r="K54" i="1" s="1"/>
  <c r="U22" i="1"/>
  <c r="J46" i="1" s="1"/>
  <c r="K46" i="1" s="1"/>
  <c r="U14" i="1"/>
  <c r="J38" i="1" s="1"/>
  <c r="K38" i="1" s="1"/>
  <c r="S17" i="1"/>
  <c r="C41" i="1" s="1"/>
  <c r="D41" i="1" s="1"/>
  <c r="S14" i="1"/>
  <c r="C38" i="1" s="1"/>
  <c r="D38" i="1" s="1"/>
  <c r="U19" i="1"/>
  <c r="J43" i="1" s="1"/>
  <c r="K43" i="1" s="1"/>
  <c r="S13" i="1"/>
  <c r="C37" i="1" s="1"/>
  <c r="D37" i="1" s="1"/>
  <c r="S18" i="1"/>
  <c r="C42" i="1" s="1"/>
  <c r="D42" i="1" s="1"/>
  <c r="T19" i="1"/>
  <c r="F43" i="1" s="1"/>
  <c r="G43" i="1" s="1"/>
  <c r="S23" i="1"/>
  <c r="C47" i="1" s="1"/>
  <c r="D47" i="1" s="1"/>
  <c r="T29" i="1"/>
  <c r="F53" i="1" s="1"/>
  <c r="G53" i="1" s="1"/>
  <c r="T21" i="1"/>
  <c r="F45" i="1" s="1"/>
  <c r="G45" i="1" s="1"/>
  <c r="T26" i="1"/>
  <c r="F50" i="1" s="1"/>
  <c r="G50" i="1" s="1"/>
  <c r="T18" i="1"/>
  <c r="F42" i="1" s="1"/>
  <c r="G42" i="1" s="1"/>
  <c r="T15" i="1"/>
  <c r="F39" i="1" s="1"/>
  <c r="G39" i="1" s="1"/>
  <c r="T12" i="1"/>
  <c r="F36" i="1" s="1"/>
  <c r="G36" i="1" s="1"/>
  <c r="T23" i="1"/>
  <c r="F47" i="1" s="1"/>
  <c r="G47" i="1" s="1"/>
  <c r="U20" i="1"/>
  <c r="J44" i="1" s="1"/>
  <c r="K44" i="1" s="1"/>
  <c r="T17" i="1"/>
  <c r="F41" i="1" s="1"/>
  <c r="G41" i="1" s="1"/>
  <c r="T30" i="1"/>
  <c r="F54" i="1" s="1"/>
  <c r="G54" i="1" s="1"/>
  <c r="T22" i="1"/>
  <c r="F46" i="1" s="1"/>
  <c r="G46" i="1" s="1"/>
  <c r="T25" i="1"/>
  <c r="F49" i="1" s="1"/>
  <c r="G49" i="1" s="1"/>
  <c r="T14" i="1"/>
  <c r="F38" i="1" s="1"/>
  <c r="G38" i="1" s="1"/>
  <c r="T27" i="1"/>
  <c r="F51" i="1" s="1"/>
  <c r="G51" i="1" s="1"/>
  <c r="M54" i="1" l="1"/>
  <c r="M37" i="1"/>
  <c r="M35" i="1"/>
  <c r="M56" i="1"/>
  <c r="M55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6" i="1"/>
  <c r="N50" i="1"/>
  <c r="N52" i="1"/>
  <c r="N37" i="1"/>
  <c r="N45" i="1"/>
  <c r="N53" i="1"/>
  <c r="N38" i="1"/>
  <c r="N46" i="1"/>
  <c r="N54" i="1"/>
  <c r="N35" i="1"/>
  <c r="N40" i="1"/>
  <c r="N48" i="1"/>
  <c r="N41" i="1"/>
  <c r="N36" i="1"/>
  <c r="N49" i="1"/>
  <c r="N43" i="1"/>
  <c r="N51" i="1"/>
  <c r="N44" i="1"/>
  <c r="D56" i="1"/>
  <c r="K56" i="1"/>
  <c r="G56" i="1"/>
  <c r="D55" i="1"/>
  <c r="D57" i="1"/>
  <c r="G55" i="1"/>
  <c r="G57" i="1"/>
  <c r="K57" i="1"/>
  <c r="K55" i="1"/>
  <c r="N42" i="1" l="1"/>
  <c r="N47" i="1"/>
  <c r="N39" i="1"/>
  <c r="N57" i="1"/>
  <c r="N56" i="1"/>
  <c r="N5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<sst xmlns="http://schemas.openxmlformats.org/spreadsheetml/2006/main" count="152" uniqueCount="50">
  <si>
    <t>Timestamp</t>
  </si>
  <si>
    <t>Bucket1</t>
  </si>
  <si>
    <t>Bucket2</t>
  </si>
  <si>
    <t>Bucket3</t>
  </si>
  <si>
    <t>Ch1</t>
  </si>
  <si>
    <t>Ch2</t>
  </si>
  <si>
    <t>Ch3</t>
  </si>
  <si>
    <t>Ch4</t>
  </si>
  <si>
    <t>Gross Weight</t>
  </si>
  <si>
    <t>lbs</t>
  </si>
  <si>
    <t>mV</t>
  </si>
  <si>
    <t>%</t>
  </si>
  <si>
    <t>Ch1 mV/V</t>
  </si>
  <si>
    <t>Ch2 mV/V</t>
  </si>
  <si>
    <t>Load Cell 1:</t>
  </si>
  <si>
    <t>Interface</t>
  </si>
  <si>
    <t>SN: E34082</t>
  </si>
  <si>
    <t xml:space="preserve">Max Load: </t>
  </si>
  <si>
    <t>10Lbs</t>
  </si>
  <si>
    <t>Load Cell 2:</t>
  </si>
  <si>
    <t>SN: 169914</t>
  </si>
  <si>
    <t>Vx</t>
  </si>
  <si>
    <t>Transmitter</t>
  </si>
  <si>
    <t>Laumas TLB4</t>
  </si>
  <si>
    <t>SN: 628260040</t>
  </si>
  <si>
    <t>Modbus TCP</t>
  </si>
  <si>
    <t>FS Load</t>
  </si>
  <si>
    <t>Ch3 mV/V</t>
  </si>
  <si>
    <t>Slope</t>
  </si>
  <si>
    <t>Ch1_Zeroed</t>
  </si>
  <si>
    <t>Ch2_Zeroed</t>
  </si>
  <si>
    <t>Ch1_Load</t>
  </si>
  <si>
    <t>Ch2_Load</t>
  </si>
  <si>
    <t>Lbs</t>
  </si>
  <si>
    <t>Ch3_Zeroed</t>
  </si>
  <si>
    <t>Ch3_Load</t>
  </si>
  <si>
    <t>Ch1 Diff</t>
  </si>
  <si>
    <t>mL eqiv</t>
  </si>
  <si>
    <t>Ch2 Diff</t>
  </si>
  <si>
    <t>Ch3 Diff</t>
  </si>
  <si>
    <t>Mean</t>
  </si>
  <si>
    <t>Min</t>
  </si>
  <si>
    <t>Max</t>
  </si>
  <si>
    <t>Load Cell 3:</t>
  </si>
  <si>
    <t>Optima</t>
  </si>
  <si>
    <t>SN: 2210004</t>
  </si>
  <si>
    <t>50Lbs</t>
  </si>
  <si>
    <t>Diff</t>
  </si>
  <si>
    <t>LinEst</t>
  </si>
  <si>
    <t>Theoretical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</si>
</sst>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2" fontId="0" fillId="0" borderId="0" xfId="0" applyNumberFormat="1"/>
    <xf numFmtId="0" fontId="0" fillId="33" borderId="0" xfId="0" applyFill="1"/>
    <xf numFmtId="164" fontId="0" fillId="0" borderId="0" xfId="0" applyNumberFormat="1"/>
    <xf numFmtId="2" fontId="0" fillId="0" borderId="0" xfId="0" applyNumberFormat="1"/>
    <xf numFmtId="164" fontId="0" fillId="0" borderId="10" xfId="0" applyNumberFormat="1" applyBorder="1"/>
    <xf numFmtId="0" fontId="0" fillId="0" borderId="11" xfId="0" applyBorder="1"/>
    <xf numFmtId="164" fontId="0" fillId="0" borderId="11" xfId="0" applyNumberFormat="1" applyBorder="1"/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'LoadCalibration_2026-01-06_1626'!$R$11:$R$30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0.53999999999999992</c:v>
                </c:pt>
                <c:pt idx="3">
                  <c:v>1.55</c:v>
                </c:pt>
                <c:pt idx="4">
                  <c:v>3.39</c:v>
                </c:pt>
                <c:pt idx="5">
                  <c:v>5.71</c:v>
                </c:pt>
                <c:pt idx="6">
                  <c:v>8.26</c:v>
                </c:pt>
                <c:pt idx="7">
                  <c:v>10.479999999999999</c:v>
                </c:pt>
                <c:pt idx="8">
                  <c:v>12.04</c:v>
                </c:pt>
                <c:pt idx="9">
                  <c:v>13.53</c:v>
                </c:pt>
                <c:pt idx="10">
                  <c:v>14.479999999999999</c:v>
                </c:pt>
                <c:pt idx="11">
                  <c:v>14.479999999999999</c:v>
                </c:pt>
                <c:pt idx="12">
                  <c:v>10.879999999999999</c:v>
                </c:pt>
                <c:pt idx="13">
                  <c:v>8.2799999999999994</c:v>
                </c:pt>
                <c:pt idx="14">
                  <c:v>5.63</c:v>
                </c:pt>
                <c:pt idx="15">
                  <c:v>3.2800000000000002</c:v>
                </c:pt>
                <c:pt idx="16">
                  <c:v>1.53</c:v>
                </c:pt>
                <c:pt idx="17">
                  <c:v>0.54999999999999993</c:v>
                </c:pt>
                <c:pt idx="18">
                  <c:v>9.999999999999995E-3</c:v>
                </c:pt>
                <c:pt idx="19">
                  <c:v>9.999999999999995E-3</c:v>
                </c:pt>
              </c:numCache>
            </c:numRef>
          </c:xVal>
          <c:yVal>
            <c:numRef>
              <c:f>'LoadCalibration_2026-01-06_1626'!$I$35:$I$54</c:f>
              <c:numCache>
                <c:formatCode>0.0</c:formatCode>
                <c:ptCount val="20"/>
                <c:pt idx="0" formatCode="General">
                  <c:v>0</c:v>
                </c:pt>
                <c:pt idx="1">
                  <c:v>0</c:v>
                </c:pt>
                <c:pt idx="2">
                  <c:v>802.85849489999998</c:v>
                </c:pt>
                <c:pt idx="3">
                  <c:v>2345.0725529000001</c:v>
                </c:pt>
                <c:pt idx="4">
                  <c:v>5102.9141625000002</c:v>
                </c:pt>
                <c:pt idx="5">
                  <c:v>8600.1113352000011</c:v>
                </c:pt>
                <c:pt idx="6">
                  <c:v>12451.1105565</c:v>
                </c:pt>
                <c:pt idx="7">
                  <c:v>15794.086323400001</c:v>
                </c:pt>
                <c:pt idx="8">
                  <c:v>18134.622952599999</c:v>
                </c:pt>
                <c:pt idx="9">
                  <c:v>20398.048878900001</c:v>
                </c:pt>
                <c:pt idx="10">
                  <c:v>21804.185225900001</c:v>
                </c:pt>
                <c:pt idx="11">
                  <c:v>21804.185225900001</c:v>
                </c:pt>
                <c:pt idx="12">
                  <c:v>16401.9000992</c:v>
                </c:pt>
                <c:pt idx="13">
                  <c:v>12473.790175</c:v>
                </c:pt>
                <c:pt idx="14">
                  <c:v>8445.8899294000003</c:v>
                </c:pt>
                <c:pt idx="15">
                  <c:v>4930.5490619000002</c:v>
                </c:pt>
                <c:pt idx="16">
                  <c:v>2290.6414685</c:v>
                </c:pt>
                <c:pt idx="17">
                  <c:v>802.85849489999998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12-4397-AC65-891C34A3D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198752"/>
        <c:axId val="2053191552"/>
      </c:scatterChart>
      <c:valAx>
        <c:axId val="205319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191552"/>
        <c:crosses val="autoZero"/>
        <c:crossBetween val="midCat"/>
      </c:valAx>
      <c:valAx>
        <c:axId val="205319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19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Sheet1!$I$11:$I$30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0.53999999999999992</c:v>
                </c:pt>
                <c:pt idx="3">
                  <c:v>1.55</c:v>
                </c:pt>
                <c:pt idx="4">
                  <c:v>3.39</c:v>
                </c:pt>
                <c:pt idx="5">
                  <c:v>5.71</c:v>
                </c:pt>
                <c:pt idx="6">
                  <c:v>8.26</c:v>
                </c:pt>
                <c:pt idx="7">
                  <c:v>10.479999999999999</c:v>
                </c:pt>
                <c:pt idx="8">
                  <c:v>12.04</c:v>
                </c:pt>
                <c:pt idx="9">
                  <c:v>13.53</c:v>
                </c:pt>
                <c:pt idx="10">
                  <c:v>14.479999999999999</c:v>
                </c:pt>
                <c:pt idx="11">
                  <c:v>14.479999999999999</c:v>
                </c:pt>
                <c:pt idx="12">
                  <c:v>10.879999999999999</c:v>
                </c:pt>
                <c:pt idx="13">
                  <c:v>8.2799999999999994</c:v>
                </c:pt>
                <c:pt idx="14">
                  <c:v>5.63</c:v>
                </c:pt>
                <c:pt idx="15">
                  <c:v>3.2800000000000002</c:v>
                </c:pt>
                <c:pt idx="16">
                  <c:v>1.53</c:v>
                </c:pt>
                <c:pt idx="17">
                  <c:v>0.54999999999999993</c:v>
                </c:pt>
                <c:pt idx="18">
                  <c:v>9.999999999999995E-3</c:v>
                </c:pt>
                <c:pt idx="19">
                  <c:v>9.999999999999995E-3</c:v>
                </c:pt>
              </c:numCache>
            </c:numRef>
          </c:xVal>
          <c:yVal>
            <c:numRef>
              <c:f>Sheet1!$E$11:$E$30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0.5278503912000001</c:v>
                </c:pt>
                <c:pt idx="3">
                  <c:v>1.5418002952000001</c:v>
                </c:pt>
                <c:pt idx="4">
                  <c:v>3.3549813000000004</c:v>
                </c:pt>
                <c:pt idx="5">
                  <c:v>5.654261817600001</c:v>
                </c:pt>
                <c:pt idx="6">
                  <c:v>8.1861543720000007</c:v>
                </c:pt>
                <c:pt idx="7">
                  <c:v>10.384039899200001</c:v>
                </c:pt>
                <c:pt idx="8">
                  <c:v>11.922857988800001</c:v>
                </c:pt>
                <c:pt idx="9">
                  <c:v>13.4109785832</c:v>
                </c:pt>
                <c:pt idx="10">
                  <c:v>14.335462319200003</c:v>
                </c:pt>
                <c:pt idx="11">
                  <c:v>14.335462319200003</c:v>
                </c:pt>
                <c:pt idx="12">
                  <c:v>10.783655449600001</c:v>
                </c:pt>
                <c:pt idx="13">
                  <c:v>8.2010653999999992</c:v>
                </c:pt>
                <c:pt idx="14">
                  <c:v>5.5528668272000017</c:v>
                </c:pt>
                <c:pt idx="15">
                  <c:v>3.2416574872000008</c:v>
                </c:pt>
                <c:pt idx="16">
                  <c:v>1.5060138280000002</c:v>
                </c:pt>
                <c:pt idx="17">
                  <c:v>0.5278503912000001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7B-4268-B65B-6428974FB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169952"/>
        <c:axId val="2053163712"/>
      </c:scatterChart>
      <c:valAx>
        <c:axId val="205316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163712"/>
        <c:crosses val="autoZero"/>
        <c:crossBetween val="midCat"/>
      </c:valAx>
      <c:valAx>
        <c:axId val="205316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16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419099</xdr:colOff>
      <xdr:row>35</xdr:row>
      <xdr:rowOff>157162</xdr:rowOff>
    </xdr:from>
    <xdr:to>
      <xdr:col>26</xdr:col>
      <xdr:colOff>333374</xdr:colOff>
      <xdr:row>53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3ED325-A528-542E-56E1-5715D8827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33</xdr:row>
      <xdr:rowOff>52387</xdr:rowOff>
    </xdr:from>
    <xdr:to>
      <xdr:col>16</xdr:col>
      <xdr:colOff>276224</xdr:colOff>
      <xdr:row>51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787F6D-8879-3E2A-4A53-28420F1F2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759F-62D7-4E5C-8857-5158718CF50F}">
  <dimension ref="A1:U57"/>
  <sheetViews>
    <sheetView tabSelected="1" topLeftCell="A31" workbookViewId="0">
      <selection activeCell="N56" sqref="N56"/>
    </sheetView>
  </sheetViews>
  <sheetFormatPr defaultRowHeight="15" x14ac:dyDescent="0.25"/>
  <cols>
    <col min="1" max="1" width="13.5703125" bestFit="1" customWidth="1"/>
    <col min="2" max="3" width="9.5703125" bestFit="1" customWidth="1"/>
    <col min="4" max="4" width="10.5703125" bestFit="1" customWidth="1"/>
    <col min="5" max="6" width="9.5703125" bestFit="1" customWidth="1"/>
    <col min="7" max="7" width="10.5703125" bestFit="1" customWidth="1"/>
    <col min="8" max="8" width="10.5703125" customWidth="1"/>
    <col min="11" max="11" width="14.140625" customWidth="1"/>
    <col min="13" max="13" width="11.5703125" bestFit="1" customWidth="1"/>
  </cols>
  <sheetData>
    <row r="1" spans="1:21" x14ac:dyDescent="0.25">
      <c r="E1" t="s">
        <v>12</v>
      </c>
      <c r="F1" t="s">
        <v>13</v>
      </c>
      <c r="G1" t="s">
        <v>27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 spans="1:21" x14ac:dyDescent="0.25">
      <c r="E2">
        <v>3.1949999999999998</v>
      </c>
      <c r="F2">
        <v>3.3029999999999999</v>
      </c>
      <c r="G2">
        <v>2.9990000000000001</v>
      </c>
      <c r="I2" t="s">
        <v>19</v>
      </c>
      <c r="J2" t="s">
        <v>15</v>
      </c>
      <c r="K2" t="s">
        <v>20</v>
      </c>
      <c r="L2" t="s">
        <v>17</v>
      </c>
      <c r="M2" t="s">
        <v>18</v>
      </c>
    </row>
    <row r="3" spans="1:21" x14ac:dyDescent="0.25">
      <c r="D3" t="s">
        <v>21</v>
      </c>
      <c r="E3">
        <v>4.9729999999999999</v>
      </c>
      <c r="F3">
        <v>4.9729999999999999</v>
      </c>
      <c r="G3">
        <v>4.9729999999999999</v>
      </c>
      <c r="I3" t="s">
        <v>43</v>
      </c>
      <c r="J3" t="s">
        <v>44</v>
      </c>
      <c r="K3" t="s">
        <v>45</v>
      </c>
      <c r="L3" t="s">
        <v>17</v>
      </c>
      <c r="M3" t="s">
        <v>46</v>
      </c>
    </row>
    <row r="4" spans="1:21" x14ac:dyDescent="0.25">
      <c r="D4" t="s">
        <v>26</v>
      </c>
      <c r="E4">
        <v>10</v>
      </c>
      <c r="F4">
        <v>10</v>
      </c>
      <c r="G4">
        <v>50</v>
      </c>
      <c r="I4" t="s">
        <v>22</v>
      </c>
      <c r="J4" t="s">
        <v>23</v>
      </c>
      <c r="K4" t="s">
        <v>24</v>
      </c>
      <c r="L4" t="s">
        <v>25</v>
      </c>
    </row>
    <row r="5" spans="1:21" x14ac:dyDescent="0.25">
      <c r="D5" t="s">
        <v>28</v>
      </c>
      <c r="E5">
        <f>E4/(E2*E3)</f>
        <v>0.6293767250822675</v>
      </c>
      <c r="F5">
        <f t="shared" ref="F5:G5" si="0">F4/(F2*F3)</f>
        <v>0.60879764960273819</v>
      </c>
      <c r="G5">
        <f t="shared" si="0"/>
        <v>3.3525485772554924</v>
      </c>
    </row>
    <row r="9" spans="1:21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I9" t="s">
        <v>7</v>
      </c>
      <c r="J9" t="s">
        <v>4</v>
      </c>
      <c r="K9" t="s">
        <v>5</v>
      </c>
      <c r="L9" t="s">
        <v>6</v>
      </c>
      <c r="M9" t="s">
        <v>7</v>
      </c>
      <c r="N9" t="s">
        <v>8</v>
      </c>
      <c r="P9" t="s">
        <v>29</v>
      </c>
      <c r="Q9" t="s">
        <v>30</v>
      </c>
      <c r="R9" t="s">
        <v>34</v>
      </c>
      <c r="S9" s="2" t="s">
        <v>31</v>
      </c>
      <c r="T9" s="2" t="s">
        <v>32</v>
      </c>
      <c r="U9" s="2" t="s">
        <v>35</v>
      </c>
    </row>
    <row r="10" spans="1:21" x14ac:dyDescent="0.25">
      <c r="B10" t="s">
        <v>9</v>
      </c>
      <c r="C10" t="s">
        <v>9</v>
      </c>
      <c r="D10" t="s">
        <v>9</v>
      </c>
      <c r="E10" t="s">
        <v>10</v>
      </c>
      <c r="F10" t="s">
        <v>10</v>
      </c>
      <c r="G10" t="s">
        <v>10</v>
      </c>
      <c r="I10" t="s">
        <v>10</v>
      </c>
      <c r="J10" t="s">
        <v>11</v>
      </c>
      <c r="K10" t="s">
        <v>11</v>
      </c>
      <c r="L10" t="s">
        <v>11</v>
      </c>
      <c r="M10" t="s">
        <v>11</v>
      </c>
      <c r="N10" t="s">
        <v>9</v>
      </c>
      <c r="P10" t="s">
        <v>10</v>
      </c>
      <c r="Q10" t="s">
        <v>10</v>
      </c>
      <c r="R10" t="s">
        <v>10</v>
      </c>
      <c r="S10" s="2" t="s">
        <v>33</v>
      </c>
      <c r="T10" s="2" t="s">
        <v>33</v>
      </c>
      <c r="U10" s="2" t="s">
        <v>33</v>
      </c>
    </row>
    <row r="11" spans="1:21" x14ac:dyDescent="0.25">
      <c r="A11" s="1">
        <v>46028.68509259259</v>
      </c>
      <c r="B11">
        <v>0</v>
      </c>
      <c r="C11">
        <v>0</v>
      </c>
      <c r="D11">
        <v>0</v>
      </c>
      <c r="E11">
        <v>0.43</v>
      </c>
      <c r="F11">
        <v>-0.79</v>
      </c>
      <c r="G11">
        <v>0.05</v>
      </c>
      <c r="H11">
        <f>G11*$G$5</f>
        <v>0.16762742886277462</v>
      </c>
      <c r="I11">
        <v>0</v>
      </c>
      <c r="J11">
        <v>33.9</v>
      </c>
      <c r="K11">
        <v>6492.2</v>
      </c>
      <c r="L11">
        <v>4.5</v>
      </c>
      <c r="M11">
        <v>0</v>
      </c>
      <c r="N11">
        <v>-0.45900000000000002</v>
      </c>
      <c r="P11">
        <f>E11-E$11</f>
        <v>0</v>
      </c>
      <c r="Q11">
        <f>F11-F$11</f>
        <v>0</v>
      </c>
      <c r="R11">
        <f>G11-G$11</f>
        <v>0</v>
      </c>
      <c r="S11" s="4">
        <f>P11*E$5</f>
        <v>0</v>
      </c>
      <c r="T11" s="4">
        <f>Q11*F$5</f>
        <v>0</v>
      </c>
      <c r="U11" s="4">
        <f>R11*G$5</f>
        <v>0</v>
      </c>
    </row>
    <row r="12" spans="1:21" x14ac:dyDescent="0.25">
      <c r="A12" s="1">
        <v>46028.685752314814</v>
      </c>
      <c r="B12">
        <v>8.9600000000000009</v>
      </c>
      <c r="C12">
        <v>5.98</v>
      </c>
      <c r="D12">
        <v>0</v>
      </c>
      <c r="E12">
        <v>14.71</v>
      </c>
      <c r="F12">
        <v>9.07</v>
      </c>
      <c r="G12">
        <v>0.05</v>
      </c>
      <c r="H12">
        <f t="shared" ref="H12:H30" si="1">G12*$G$5</f>
        <v>0.16762742886277462</v>
      </c>
      <c r="I12">
        <v>0</v>
      </c>
      <c r="J12">
        <v>61.7</v>
      </c>
      <c r="K12">
        <v>38</v>
      </c>
      <c r="L12">
        <v>0.2</v>
      </c>
      <c r="M12">
        <v>0</v>
      </c>
      <c r="N12">
        <v>37.118000000000002</v>
      </c>
      <c r="P12">
        <f>E12-E$11</f>
        <v>14.280000000000001</v>
      </c>
      <c r="Q12">
        <f t="shared" ref="Q12:Q30" si="2">F12-F$11</f>
        <v>9.86</v>
      </c>
      <c r="R12">
        <f t="shared" ref="R12:R30" si="3">G12-G$11</f>
        <v>0</v>
      </c>
      <c r="S12" s="4">
        <f t="shared" ref="S12:S30" si="4">P12*E$5</f>
        <v>8.9874996341747799</v>
      </c>
      <c r="T12" s="4">
        <f t="shared" ref="T12:T30" si="5">Q12*F$5</f>
        <v>6.0027448250829982</v>
      </c>
      <c r="U12" s="4">
        <f>R12*G$5</f>
        <v>0</v>
      </c>
    </row>
    <row r="13" spans="1:21" x14ac:dyDescent="0.25">
      <c r="A13" s="1">
        <v>46028.686435185184</v>
      </c>
      <c r="B13">
        <v>8.9600000000000009</v>
      </c>
      <c r="C13">
        <v>5.98</v>
      </c>
      <c r="D13">
        <v>1.77</v>
      </c>
      <c r="E13">
        <v>14.68</v>
      </c>
      <c r="F13">
        <v>9.11</v>
      </c>
      <c r="G13">
        <v>0.59</v>
      </c>
      <c r="H13">
        <f t="shared" si="1"/>
        <v>1.9780036605807405</v>
      </c>
      <c r="I13">
        <v>0</v>
      </c>
      <c r="J13">
        <v>60.3</v>
      </c>
      <c r="K13">
        <v>37.200000000000003</v>
      </c>
      <c r="L13">
        <v>2.4</v>
      </c>
      <c r="M13">
        <v>0</v>
      </c>
      <c r="N13">
        <v>37.953000000000003</v>
      </c>
      <c r="P13">
        <f t="shared" ref="P13:P30" si="6">E13-E$11</f>
        <v>14.25</v>
      </c>
      <c r="Q13">
        <f t="shared" si="2"/>
        <v>9.8999999999999986</v>
      </c>
      <c r="R13">
        <f t="shared" si="3"/>
        <v>0.53999999999999992</v>
      </c>
      <c r="S13" s="4">
        <f t="shared" si="4"/>
        <v>8.9686183324223112</v>
      </c>
      <c r="T13" s="4">
        <f t="shared" si="5"/>
        <v>6.0270967310671075</v>
      </c>
      <c r="U13" s="4">
        <f t="shared" ref="U13:U30" si="7">R13*G$5</f>
        <v>1.8103762317179657</v>
      </c>
    </row>
    <row r="14" spans="1:21" x14ac:dyDescent="0.25">
      <c r="A14" s="1">
        <v>46028.687141203707</v>
      </c>
      <c r="B14">
        <v>8.9600000000000009</v>
      </c>
      <c r="C14">
        <v>5.98</v>
      </c>
      <c r="D14">
        <v>5.17</v>
      </c>
      <c r="E14">
        <v>14.73</v>
      </c>
      <c r="F14">
        <v>9.15</v>
      </c>
      <c r="G14">
        <v>1.6</v>
      </c>
      <c r="H14">
        <f t="shared" si="1"/>
        <v>5.364077723608788</v>
      </c>
      <c r="I14">
        <v>0</v>
      </c>
      <c r="J14">
        <v>57.9</v>
      </c>
      <c r="K14">
        <v>35.6</v>
      </c>
      <c r="L14">
        <v>6.3</v>
      </c>
      <c r="M14">
        <v>0</v>
      </c>
      <c r="N14">
        <v>39.56</v>
      </c>
      <c r="P14">
        <f t="shared" si="6"/>
        <v>14.3</v>
      </c>
      <c r="Q14">
        <f t="shared" si="2"/>
        <v>9.9400000000000013</v>
      </c>
      <c r="R14">
        <f t="shared" si="3"/>
        <v>1.55</v>
      </c>
      <c r="S14" s="4">
        <f t="shared" si="4"/>
        <v>9.0000871686764263</v>
      </c>
      <c r="T14" s="4">
        <f t="shared" si="5"/>
        <v>6.0514486370512186</v>
      </c>
      <c r="U14" s="4">
        <f t="shared" si="7"/>
        <v>5.1964502947460129</v>
      </c>
    </row>
    <row r="15" spans="1:21" x14ac:dyDescent="0.25">
      <c r="A15" s="1">
        <v>46028.688194444447</v>
      </c>
      <c r="B15">
        <v>8.9600000000000009</v>
      </c>
      <c r="C15">
        <v>5.98</v>
      </c>
      <c r="D15">
        <v>11.25</v>
      </c>
      <c r="E15">
        <v>14.76</v>
      </c>
      <c r="F15">
        <v>9.0399999999999991</v>
      </c>
      <c r="G15">
        <v>3.44</v>
      </c>
      <c r="H15">
        <f t="shared" si="1"/>
        <v>11.532767105758893</v>
      </c>
      <c r="I15">
        <v>0</v>
      </c>
      <c r="J15">
        <v>54</v>
      </c>
      <c r="K15">
        <v>33.200000000000003</v>
      </c>
      <c r="L15">
        <v>12.6</v>
      </c>
      <c r="M15">
        <v>0</v>
      </c>
      <c r="N15">
        <v>42.399000000000001</v>
      </c>
      <c r="P15">
        <f t="shared" si="6"/>
        <v>14.33</v>
      </c>
      <c r="Q15">
        <f t="shared" si="2"/>
        <v>9.8299999999999983</v>
      </c>
      <c r="R15">
        <f t="shared" si="3"/>
        <v>3.39</v>
      </c>
      <c r="S15" s="4">
        <f t="shared" si="4"/>
        <v>9.0189684704288933</v>
      </c>
      <c r="T15" s="4">
        <f t="shared" si="5"/>
        <v>5.9844808955949151</v>
      </c>
      <c r="U15" s="4">
        <f>R15*G$5</f>
        <v>11.365139676896119</v>
      </c>
    </row>
    <row r="16" spans="1:21" x14ac:dyDescent="0.25">
      <c r="A16" s="1">
        <v>46028.688888888886</v>
      </c>
      <c r="B16">
        <v>8.9600000000000009</v>
      </c>
      <c r="C16">
        <v>5.98</v>
      </c>
      <c r="D16">
        <v>18.96</v>
      </c>
      <c r="E16">
        <v>14.73</v>
      </c>
      <c r="F16">
        <v>9.07</v>
      </c>
      <c r="G16">
        <v>5.76</v>
      </c>
      <c r="H16">
        <f t="shared" si="1"/>
        <v>19.310679804991636</v>
      </c>
      <c r="I16">
        <v>0</v>
      </c>
      <c r="J16">
        <v>49.8</v>
      </c>
      <c r="K16">
        <v>30.6</v>
      </c>
      <c r="L16">
        <v>19.5</v>
      </c>
      <c r="M16">
        <v>0</v>
      </c>
      <c r="N16">
        <v>46.014000000000003</v>
      </c>
      <c r="P16">
        <f t="shared" si="6"/>
        <v>14.3</v>
      </c>
      <c r="Q16">
        <f t="shared" si="2"/>
        <v>9.86</v>
      </c>
      <c r="R16">
        <f t="shared" si="3"/>
        <v>5.71</v>
      </c>
      <c r="S16" s="4">
        <f t="shared" si="4"/>
        <v>9.0000871686764263</v>
      </c>
      <c r="T16" s="4">
        <f t="shared" si="5"/>
        <v>6.0027448250829982</v>
      </c>
      <c r="U16" s="4">
        <f t="shared" si="7"/>
        <v>19.14305237612886</v>
      </c>
    </row>
    <row r="17" spans="1:21" x14ac:dyDescent="0.25">
      <c r="A17" s="1">
        <v>46028.689583333333</v>
      </c>
      <c r="B17">
        <v>8.9600000000000009</v>
      </c>
      <c r="C17">
        <v>5.98</v>
      </c>
      <c r="D17">
        <v>27.45</v>
      </c>
      <c r="E17">
        <v>14.72</v>
      </c>
      <c r="F17">
        <v>9.06</v>
      </c>
      <c r="G17">
        <v>8.31</v>
      </c>
      <c r="H17">
        <f t="shared" si="1"/>
        <v>27.859678676993145</v>
      </c>
      <c r="I17">
        <v>0</v>
      </c>
      <c r="J17">
        <v>45.8</v>
      </c>
      <c r="K17">
        <v>28.2</v>
      </c>
      <c r="L17">
        <v>25.8</v>
      </c>
      <c r="M17">
        <v>0</v>
      </c>
      <c r="N17">
        <v>49.985999999999997</v>
      </c>
      <c r="P17">
        <f t="shared" si="6"/>
        <v>14.290000000000001</v>
      </c>
      <c r="Q17">
        <f t="shared" si="2"/>
        <v>9.8500000000000014</v>
      </c>
      <c r="R17">
        <f t="shared" si="3"/>
        <v>8.26</v>
      </c>
      <c r="S17" s="4">
        <f t="shared" si="4"/>
        <v>8.9937934014256022</v>
      </c>
      <c r="T17" s="4">
        <f t="shared" si="5"/>
        <v>5.996656848586972</v>
      </c>
      <c r="U17" s="4">
        <f t="shared" si="7"/>
        <v>27.692051248130365</v>
      </c>
    </row>
    <row r="18" spans="1:21" x14ac:dyDescent="0.25">
      <c r="A18" s="1">
        <v>46028.690972222219</v>
      </c>
      <c r="B18">
        <v>8.9600000000000009</v>
      </c>
      <c r="C18">
        <v>5.98</v>
      </c>
      <c r="D18">
        <v>34.82</v>
      </c>
      <c r="E18">
        <v>14.69</v>
      </c>
      <c r="F18">
        <v>9.11</v>
      </c>
      <c r="G18">
        <v>10.53</v>
      </c>
      <c r="H18">
        <f t="shared" si="1"/>
        <v>35.302336518500333</v>
      </c>
      <c r="I18">
        <v>0</v>
      </c>
      <c r="J18">
        <v>42.8</v>
      </c>
      <c r="K18">
        <v>26.4</v>
      </c>
      <c r="L18">
        <v>30.6</v>
      </c>
      <c r="M18">
        <v>0</v>
      </c>
      <c r="N18">
        <v>53.442999999999998</v>
      </c>
      <c r="P18">
        <f t="shared" si="6"/>
        <v>14.26</v>
      </c>
      <c r="Q18">
        <f t="shared" si="2"/>
        <v>9.8999999999999986</v>
      </c>
      <c r="R18">
        <f t="shared" si="3"/>
        <v>10.479999999999999</v>
      </c>
      <c r="S18" s="4">
        <f t="shared" si="4"/>
        <v>8.9749120996731335</v>
      </c>
      <c r="T18" s="4">
        <f t="shared" si="5"/>
        <v>6.0270967310671075</v>
      </c>
      <c r="U18" s="4">
        <f t="shared" si="7"/>
        <v>35.134709089637553</v>
      </c>
    </row>
    <row r="19" spans="1:21" x14ac:dyDescent="0.25">
      <c r="A19" s="1">
        <v>46028.691666666666</v>
      </c>
      <c r="B19">
        <v>8.9600000000000009</v>
      </c>
      <c r="C19">
        <v>5.98</v>
      </c>
      <c r="D19">
        <v>39.979999999999997</v>
      </c>
      <c r="E19">
        <v>14.73</v>
      </c>
      <c r="F19">
        <v>9.0500000000000007</v>
      </c>
      <c r="G19">
        <v>12.09</v>
      </c>
      <c r="H19">
        <f t="shared" si="1"/>
        <v>40.532312299018905</v>
      </c>
      <c r="I19">
        <v>0</v>
      </c>
      <c r="J19">
        <v>41</v>
      </c>
      <c r="K19">
        <v>25.2</v>
      </c>
      <c r="L19">
        <v>33.6</v>
      </c>
      <c r="M19">
        <v>0</v>
      </c>
      <c r="N19">
        <v>55.853999999999999</v>
      </c>
      <c r="P19">
        <f t="shared" si="6"/>
        <v>14.3</v>
      </c>
      <c r="Q19">
        <f t="shared" si="2"/>
        <v>9.84</v>
      </c>
      <c r="R19">
        <f t="shared" si="3"/>
        <v>12.04</v>
      </c>
      <c r="S19" s="4">
        <f t="shared" si="4"/>
        <v>9.0000871686764263</v>
      </c>
      <c r="T19" s="4">
        <f t="shared" si="5"/>
        <v>5.990568872090944</v>
      </c>
      <c r="U19" s="4">
        <f t="shared" si="7"/>
        <v>40.364684870156125</v>
      </c>
    </row>
    <row r="20" spans="1:21" x14ac:dyDescent="0.25">
      <c r="A20" s="1">
        <v>46028.692361111112</v>
      </c>
      <c r="B20">
        <v>8.9600000000000009</v>
      </c>
      <c r="C20">
        <v>5.98</v>
      </c>
      <c r="D20">
        <v>44.97</v>
      </c>
      <c r="E20">
        <v>14.71</v>
      </c>
      <c r="F20">
        <v>9.0299999999999994</v>
      </c>
      <c r="G20">
        <v>13.58</v>
      </c>
      <c r="H20">
        <f t="shared" si="1"/>
        <v>45.52760967912959</v>
      </c>
      <c r="I20">
        <v>0</v>
      </c>
      <c r="J20">
        <v>39.299999999999997</v>
      </c>
      <c r="K20">
        <v>24.2</v>
      </c>
      <c r="L20">
        <v>36.299999999999997</v>
      </c>
      <c r="M20">
        <v>0</v>
      </c>
      <c r="N20">
        <v>58.192999999999998</v>
      </c>
      <c r="P20">
        <f t="shared" si="6"/>
        <v>14.280000000000001</v>
      </c>
      <c r="Q20">
        <f t="shared" si="2"/>
        <v>9.82</v>
      </c>
      <c r="R20">
        <f t="shared" si="3"/>
        <v>13.53</v>
      </c>
      <c r="S20" s="4">
        <f t="shared" si="4"/>
        <v>8.9874996341747799</v>
      </c>
      <c r="T20" s="4">
        <f t="shared" si="5"/>
        <v>5.9783929190988889</v>
      </c>
      <c r="U20" s="4">
        <f t="shared" si="7"/>
        <v>45.35998225026681</v>
      </c>
    </row>
    <row r="21" spans="1:21" x14ac:dyDescent="0.25">
      <c r="A21" s="1">
        <v>46028.693055555559</v>
      </c>
      <c r="B21">
        <v>8.9600000000000009</v>
      </c>
      <c r="C21">
        <v>5.98</v>
      </c>
      <c r="D21">
        <v>48.07</v>
      </c>
      <c r="E21">
        <v>14.77</v>
      </c>
      <c r="F21">
        <v>9.07</v>
      </c>
      <c r="G21">
        <v>14.53</v>
      </c>
      <c r="H21">
        <f t="shared" si="1"/>
        <v>48.712530827522301</v>
      </c>
      <c r="I21">
        <v>0</v>
      </c>
      <c r="J21">
        <v>38.4</v>
      </c>
      <c r="K21">
        <v>23.6</v>
      </c>
      <c r="L21">
        <v>37.9</v>
      </c>
      <c r="M21">
        <v>0</v>
      </c>
      <c r="N21">
        <v>59.667000000000002</v>
      </c>
      <c r="P21">
        <f t="shared" si="6"/>
        <v>14.34</v>
      </c>
      <c r="Q21">
        <f t="shared" si="2"/>
        <v>9.86</v>
      </c>
      <c r="R21">
        <f t="shared" si="3"/>
        <v>14.479999999999999</v>
      </c>
      <c r="S21" s="4">
        <f t="shared" si="4"/>
        <v>9.0252622376797156</v>
      </c>
      <c r="T21" s="4">
        <f t="shared" si="5"/>
        <v>6.0027448250829982</v>
      </c>
      <c r="U21" s="4">
        <f t="shared" si="7"/>
        <v>48.544903398659528</v>
      </c>
    </row>
    <row r="22" spans="1:21" x14ac:dyDescent="0.25">
      <c r="A22" s="1">
        <v>46028.693749999999</v>
      </c>
      <c r="B22">
        <v>8.9600000000000009</v>
      </c>
      <c r="C22">
        <v>0</v>
      </c>
      <c r="D22">
        <v>48.07</v>
      </c>
      <c r="E22">
        <v>14.75</v>
      </c>
      <c r="F22">
        <v>-0.79</v>
      </c>
      <c r="G22">
        <v>14.53</v>
      </c>
      <c r="H22">
        <f t="shared" si="1"/>
        <v>48.712530827522301</v>
      </c>
      <c r="I22">
        <v>0</v>
      </c>
      <c r="J22">
        <v>49</v>
      </c>
      <c r="K22">
        <v>6551</v>
      </c>
      <c r="L22">
        <v>48.3</v>
      </c>
      <c r="M22">
        <v>0</v>
      </c>
      <c r="N22">
        <v>44.317</v>
      </c>
      <c r="P22">
        <f t="shared" si="6"/>
        <v>14.32</v>
      </c>
      <c r="Q22">
        <f t="shared" si="2"/>
        <v>0</v>
      </c>
      <c r="R22">
        <f t="shared" si="3"/>
        <v>14.479999999999999</v>
      </c>
      <c r="S22" s="4">
        <f t="shared" si="4"/>
        <v>9.012674703178071</v>
      </c>
      <c r="T22" s="4">
        <f t="shared" si="5"/>
        <v>0</v>
      </c>
      <c r="U22" s="4">
        <f t="shared" si="7"/>
        <v>48.544903398659528</v>
      </c>
    </row>
    <row r="23" spans="1:21" x14ac:dyDescent="0.25">
      <c r="A23" s="1">
        <v>46028.694444444445</v>
      </c>
      <c r="B23">
        <v>8.9600000000000009</v>
      </c>
      <c r="C23">
        <v>5.98</v>
      </c>
      <c r="D23">
        <v>36.159999999999997</v>
      </c>
      <c r="E23">
        <v>14.78</v>
      </c>
      <c r="F23">
        <v>9.07</v>
      </c>
      <c r="G23">
        <v>10.93</v>
      </c>
      <c r="H23">
        <f t="shared" si="1"/>
        <v>36.643355949402533</v>
      </c>
      <c r="I23">
        <v>0</v>
      </c>
      <c r="J23">
        <v>42.4</v>
      </c>
      <c r="K23">
        <v>26</v>
      </c>
      <c r="L23">
        <v>31.4</v>
      </c>
      <c r="M23">
        <v>0</v>
      </c>
      <c r="N23">
        <v>54.073999999999998</v>
      </c>
      <c r="P23">
        <f t="shared" si="6"/>
        <v>14.35</v>
      </c>
      <c r="Q23">
        <f t="shared" si="2"/>
        <v>9.86</v>
      </c>
      <c r="R23">
        <f t="shared" si="3"/>
        <v>10.879999999999999</v>
      </c>
      <c r="S23" s="4">
        <f t="shared" si="4"/>
        <v>9.0315560049305379</v>
      </c>
      <c r="T23" s="4">
        <f t="shared" si="5"/>
        <v>6.0027448250829982</v>
      </c>
      <c r="U23" s="4">
        <f t="shared" si="7"/>
        <v>36.475728520539754</v>
      </c>
    </row>
    <row r="24" spans="1:21" x14ac:dyDescent="0.25">
      <c r="A24" s="1">
        <v>46028.694444444445</v>
      </c>
      <c r="B24">
        <v>8.9600000000000009</v>
      </c>
      <c r="C24">
        <v>5.98</v>
      </c>
      <c r="D24">
        <v>27.5</v>
      </c>
      <c r="E24">
        <v>14.68</v>
      </c>
      <c r="F24">
        <v>9.07</v>
      </c>
      <c r="G24">
        <v>8.33</v>
      </c>
      <c r="H24">
        <f t="shared" si="1"/>
        <v>27.926729648538252</v>
      </c>
      <c r="I24">
        <v>0</v>
      </c>
      <c r="J24">
        <v>45.8</v>
      </c>
      <c r="K24">
        <v>28.2</v>
      </c>
      <c r="L24">
        <v>25.9</v>
      </c>
      <c r="M24">
        <v>0</v>
      </c>
      <c r="N24">
        <v>50.021000000000001</v>
      </c>
      <c r="P24">
        <f t="shared" si="6"/>
        <v>14.25</v>
      </c>
      <c r="Q24">
        <f t="shared" si="2"/>
        <v>9.86</v>
      </c>
      <c r="R24">
        <f t="shared" si="3"/>
        <v>8.2799999999999994</v>
      </c>
      <c r="S24" s="4">
        <f t="shared" si="4"/>
        <v>8.9686183324223112</v>
      </c>
      <c r="T24" s="4">
        <f t="shared" si="5"/>
        <v>6.0027448250829982</v>
      </c>
      <c r="U24" s="4">
        <f t="shared" si="7"/>
        <v>27.759102219675476</v>
      </c>
    </row>
    <row r="25" spans="1:21" x14ac:dyDescent="0.25">
      <c r="A25" s="1">
        <v>46028.695138888892</v>
      </c>
      <c r="B25">
        <v>8.9600000000000009</v>
      </c>
      <c r="C25">
        <v>5.98</v>
      </c>
      <c r="D25">
        <v>18.62</v>
      </c>
      <c r="E25">
        <v>14.74</v>
      </c>
      <c r="F25">
        <v>9.07</v>
      </c>
      <c r="G25">
        <v>5.68</v>
      </c>
      <c r="H25">
        <f t="shared" si="1"/>
        <v>19.042475918811196</v>
      </c>
      <c r="I25">
        <v>0</v>
      </c>
      <c r="J25">
        <v>49.9</v>
      </c>
      <c r="K25">
        <v>30.7</v>
      </c>
      <c r="L25">
        <v>19.2</v>
      </c>
      <c r="M25">
        <v>0</v>
      </c>
      <c r="N25">
        <v>45.898000000000003</v>
      </c>
      <c r="P25">
        <f t="shared" si="6"/>
        <v>14.31</v>
      </c>
      <c r="Q25">
        <f t="shared" si="2"/>
        <v>9.86</v>
      </c>
      <c r="R25">
        <f t="shared" si="3"/>
        <v>5.63</v>
      </c>
      <c r="S25" s="4">
        <f t="shared" si="4"/>
        <v>9.0063809359272486</v>
      </c>
      <c r="T25" s="4">
        <f t="shared" si="5"/>
        <v>6.0027448250829982</v>
      </c>
      <c r="U25" s="4">
        <f t="shared" si="7"/>
        <v>18.874848489948423</v>
      </c>
    </row>
    <row r="26" spans="1:21" x14ac:dyDescent="0.25">
      <c r="A26" s="1">
        <v>46028.695833333331</v>
      </c>
      <c r="B26">
        <v>8.9600000000000009</v>
      </c>
      <c r="C26">
        <v>5.98</v>
      </c>
      <c r="D26">
        <v>10.87</v>
      </c>
      <c r="E26">
        <v>14.75</v>
      </c>
      <c r="F26">
        <v>9.0500000000000007</v>
      </c>
      <c r="G26">
        <v>3.33</v>
      </c>
      <c r="H26">
        <f t="shared" si="1"/>
        <v>11.163986762260789</v>
      </c>
      <c r="I26">
        <v>0</v>
      </c>
      <c r="J26">
        <v>54.2</v>
      </c>
      <c r="K26">
        <v>33.4</v>
      </c>
      <c r="L26">
        <v>12.2</v>
      </c>
      <c r="M26">
        <v>0</v>
      </c>
      <c r="N26">
        <v>42.238999999999997</v>
      </c>
      <c r="P26">
        <f t="shared" si="6"/>
        <v>14.32</v>
      </c>
      <c r="Q26">
        <f t="shared" si="2"/>
        <v>9.84</v>
      </c>
      <c r="R26">
        <f t="shared" si="3"/>
        <v>3.2800000000000002</v>
      </c>
      <c r="S26" s="4">
        <f t="shared" si="4"/>
        <v>9.012674703178071</v>
      </c>
      <c r="T26" s="4">
        <f t="shared" si="5"/>
        <v>5.990568872090944</v>
      </c>
      <c r="U26" s="4">
        <f t="shared" si="7"/>
        <v>10.996359333398015</v>
      </c>
    </row>
    <row r="27" spans="1:21" x14ac:dyDescent="0.25">
      <c r="A27" s="1">
        <v>46028.695833333331</v>
      </c>
      <c r="B27">
        <v>8.9600000000000009</v>
      </c>
      <c r="C27">
        <v>5.98</v>
      </c>
      <c r="D27">
        <v>5.05</v>
      </c>
      <c r="E27">
        <v>14.74</v>
      </c>
      <c r="F27">
        <v>9.07</v>
      </c>
      <c r="G27">
        <v>1.58</v>
      </c>
      <c r="H27">
        <f t="shared" si="1"/>
        <v>5.2970267520636778</v>
      </c>
      <c r="I27">
        <v>0</v>
      </c>
      <c r="J27">
        <v>58</v>
      </c>
      <c r="K27">
        <v>35.700000000000003</v>
      </c>
      <c r="L27">
        <v>6.2</v>
      </c>
      <c r="M27">
        <v>0</v>
      </c>
      <c r="N27">
        <v>39.518000000000001</v>
      </c>
      <c r="P27">
        <f t="shared" si="6"/>
        <v>14.31</v>
      </c>
      <c r="Q27">
        <f t="shared" si="2"/>
        <v>9.86</v>
      </c>
      <c r="R27">
        <f t="shared" si="3"/>
        <v>1.53</v>
      </c>
      <c r="S27" s="4">
        <f t="shared" si="4"/>
        <v>9.0063809359272486</v>
      </c>
      <c r="T27" s="4">
        <f t="shared" si="5"/>
        <v>6.0027448250829982</v>
      </c>
      <c r="U27" s="4">
        <f t="shared" si="7"/>
        <v>5.1293993232009036</v>
      </c>
    </row>
    <row r="28" spans="1:21" x14ac:dyDescent="0.25">
      <c r="A28" s="1">
        <v>46028.696527777778</v>
      </c>
      <c r="B28">
        <v>8.9600000000000009</v>
      </c>
      <c r="C28">
        <v>5.98</v>
      </c>
      <c r="D28">
        <v>1.77</v>
      </c>
      <c r="E28">
        <v>14.68</v>
      </c>
      <c r="F28">
        <v>9.02</v>
      </c>
      <c r="G28">
        <v>0.6</v>
      </c>
      <c r="H28">
        <f t="shared" si="1"/>
        <v>2.0115291463532952</v>
      </c>
      <c r="I28">
        <v>0</v>
      </c>
      <c r="J28">
        <v>60.3</v>
      </c>
      <c r="K28">
        <v>37.1</v>
      </c>
      <c r="L28">
        <v>2.4</v>
      </c>
      <c r="M28">
        <v>0</v>
      </c>
      <c r="N28">
        <v>37.970999999999997</v>
      </c>
      <c r="P28">
        <f t="shared" si="6"/>
        <v>14.25</v>
      </c>
      <c r="Q28">
        <f t="shared" si="2"/>
        <v>9.8099999999999987</v>
      </c>
      <c r="R28">
        <f t="shared" si="3"/>
        <v>0.54999999999999993</v>
      </c>
      <c r="S28" s="4">
        <f t="shared" si="4"/>
        <v>8.9686183324223112</v>
      </c>
      <c r="T28" s="4">
        <f t="shared" si="5"/>
        <v>5.9723049426028609</v>
      </c>
      <c r="U28" s="4">
        <f t="shared" si="7"/>
        <v>1.8439017174905206</v>
      </c>
    </row>
    <row r="29" spans="1:21" x14ac:dyDescent="0.25">
      <c r="A29" s="1">
        <v>46028.696527777778</v>
      </c>
      <c r="B29">
        <v>8.9600000000000009</v>
      </c>
      <c r="C29">
        <v>5.98</v>
      </c>
      <c r="D29">
        <v>0</v>
      </c>
      <c r="E29">
        <v>14.74</v>
      </c>
      <c r="F29">
        <v>9.0399999999999991</v>
      </c>
      <c r="G29">
        <v>0.06</v>
      </c>
      <c r="H29">
        <f t="shared" si="1"/>
        <v>0.20115291463532953</v>
      </c>
      <c r="I29">
        <v>0</v>
      </c>
      <c r="J29">
        <v>61.7</v>
      </c>
      <c r="K29">
        <v>38</v>
      </c>
      <c r="L29">
        <v>0.2</v>
      </c>
      <c r="M29">
        <v>0</v>
      </c>
      <c r="N29">
        <v>37.152999999999999</v>
      </c>
      <c r="P29">
        <f t="shared" si="6"/>
        <v>14.31</v>
      </c>
      <c r="Q29">
        <f t="shared" si="2"/>
        <v>9.8299999999999983</v>
      </c>
      <c r="R29">
        <f t="shared" si="3"/>
        <v>9.999999999999995E-3</v>
      </c>
      <c r="S29" s="4">
        <f t="shared" si="4"/>
        <v>9.0063809359272486</v>
      </c>
      <c r="T29" s="4">
        <f t="shared" si="5"/>
        <v>5.9844808955949151</v>
      </c>
      <c r="U29" s="4">
        <f t="shared" si="7"/>
        <v>3.352548577255491E-2</v>
      </c>
    </row>
    <row r="30" spans="1:21" x14ac:dyDescent="0.25">
      <c r="A30" s="1">
        <v>46028.697222222225</v>
      </c>
      <c r="B30">
        <v>0</v>
      </c>
      <c r="C30">
        <v>0</v>
      </c>
      <c r="D30">
        <v>0</v>
      </c>
      <c r="E30">
        <v>0.44</v>
      </c>
      <c r="F30">
        <v>-0.79</v>
      </c>
      <c r="G30">
        <v>0.06</v>
      </c>
      <c r="H30">
        <f t="shared" si="1"/>
        <v>0.20115291463532953</v>
      </c>
      <c r="I30">
        <v>0</v>
      </c>
      <c r="J30">
        <v>34.1</v>
      </c>
      <c r="K30">
        <v>6492.9</v>
      </c>
      <c r="L30">
        <v>5</v>
      </c>
      <c r="M30">
        <v>0</v>
      </c>
      <c r="N30">
        <v>-0.438</v>
      </c>
      <c r="P30">
        <f t="shared" si="6"/>
        <v>1.0000000000000009E-2</v>
      </c>
      <c r="Q30">
        <f t="shared" si="2"/>
        <v>0</v>
      </c>
      <c r="R30">
        <f t="shared" si="3"/>
        <v>9.999999999999995E-3</v>
      </c>
      <c r="S30" s="4">
        <f t="shared" si="4"/>
        <v>6.2937672508226808E-3</v>
      </c>
      <c r="T30" s="4">
        <f t="shared" si="5"/>
        <v>0</v>
      </c>
      <c r="U30" s="4">
        <f t="shared" si="7"/>
        <v>3.352548577255491E-2</v>
      </c>
    </row>
    <row r="32" spans="1:21" ht="15.75" thickBot="1" x14ac:dyDescent="0.3"/>
    <row r="33" spans="2:16" x14ac:dyDescent="0.25">
      <c r="B33" s="8" t="str">
        <f>B9</f>
        <v>Bucket1</v>
      </c>
      <c r="C33" s="9" t="str">
        <f>S9</f>
        <v>Ch1_Load</v>
      </c>
      <c r="D33" s="9" t="s">
        <v>36</v>
      </c>
      <c r="E33" s="9" t="str">
        <f>C9</f>
        <v>Bucket2</v>
      </c>
      <c r="F33" s="9" t="str">
        <f>T9</f>
        <v>Ch2_Load</v>
      </c>
      <c r="G33" s="9" t="s">
        <v>38</v>
      </c>
      <c r="H33" s="9"/>
      <c r="I33" s="9" t="str">
        <f>D9</f>
        <v>Bucket3</v>
      </c>
      <c r="J33" s="9" t="str">
        <f t="shared" ref="J33" si="8">U9</f>
        <v>Ch3_Load</v>
      </c>
      <c r="K33" s="10" t="s">
        <v>39</v>
      </c>
    </row>
    <row r="34" spans="2:16" ht="15.75" thickBot="1" x14ac:dyDescent="0.3">
      <c r="B34" s="11" t="s">
        <v>37</v>
      </c>
      <c r="C34" s="12" t="s">
        <v>37</v>
      </c>
      <c r="D34" s="12" t="s">
        <v>37</v>
      </c>
      <c r="E34" s="12" t="s">
        <v>37</v>
      </c>
      <c r="F34" s="12" t="s">
        <v>37</v>
      </c>
      <c r="G34" s="12" t="s">
        <v>37</v>
      </c>
      <c r="H34" s="12"/>
      <c r="I34" s="12" t="s">
        <v>37</v>
      </c>
      <c r="J34" s="12" t="s">
        <v>37</v>
      </c>
      <c r="K34" s="13" t="s">
        <v>37</v>
      </c>
      <c r="N34" s="14" t="s">
        <v>47</v>
      </c>
      <c r="O34" s="14" t="s">
        <v>48</v>
      </c>
    </row>
    <row r="35" spans="2:16" x14ac:dyDescent="0.25">
      <c r="B35" s="6">
        <f>B11*453.59237</f>
        <v>0</v>
      </c>
      <c r="C35" s="6">
        <f t="shared" ref="C35:C54" si="9">S11*453.59237</f>
        <v>0</v>
      </c>
      <c r="D35" s="3">
        <f>C35-B35</f>
        <v>0</v>
      </c>
      <c r="E35" s="6">
        <f t="shared" ref="E35:E54" si="10">C11*453.59237</f>
        <v>0</v>
      </c>
      <c r="F35" s="6">
        <f t="shared" ref="F35:F54" si="11">T11*453.59237</f>
        <v>0</v>
      </c>
      <c r="G35" s="7">
        <f>F35-E35</f>
        <v>0</v>
      </c>
      <c r="H35" s="7"/>
      <c r="I35" s="6">
        <f t="shared" ref="I35:I54" si="12">D11*453.59237</f>
        <v>0</v>
      </c>
      <c r="J35" s="6">
        <f t="shared" ref="J35:J50" si="13">U11*453.59237</f>
        <v>0</v>
      </c>
      <c r="K35" s="7">
        <f>J35-I35</f>
        <v>0</v>
      </c>
      <c r="M35" s="3">
        <f>R11*$O$35+$P$35</f>
        <v>0</v>
      </c>
      <c r="N35" s="3">
        <f>ABS(M35-I35)</f>
        <v>0</v>
      </c>
      <c r="O35" cm="1">
        <f t="array" ref="O35:P39">LINEST(I35:I54,R11:R30,FALSE,TRUE)</f>
        <v>1506.3586029839364</v>
      </c>
      <c r="P35">
        <v>0</v>
      </c>
    </row>
    <row r="36" spans="2:16" x14ac:dyDescent="0.25">
      <c r="B36" s="5">
        <f t="shared" ref="B36:B54" si="14">B12*453.59237</f>
        <v>4064.1876352000004</v>
      </c>
      <c r="C36" s="5">
        <f t="shared" si="9"/>
        <v>4076.6612594394715</v>
      </c>
      <c r="D36" s="3">
        <f>ABS(C36-B36)</f>
        <v>12.473624239471064</v>
      </c>
      <c r="E36" s="5">
        <f t="shared" si="10"/>
        <v>2712.4823726000004</v>
      </c>
      <c r="F36" s="5">
        <f t="shared" si="11"/>
        <v>2722.7992517146326</v>
      </c>
      <c r="G36" s="5">
        <f>ABS(F36-E36)</f>
        <v>10.316879114632229</v>
      </c>
      <c r="H36" s="5"/>
      <c r="I36" s="5">
        <f t="shared" si="12"/>
        <v>0</v>
      </c>
      <c r="J36" s="5">
        <f t="shared" si="13"/>
        <v>0</v>
      </c>
      <c r="K36" s="5">
        <f>ABS(J36-I36)</f>
        <v>0</v>
      </c>
      <c r="M36" s="3">
        <f t="shared" ref="M36:M56" si="15">R12*$O$35+$P$35</f>
        <v>0</v>
      </c>
      <c r="N36" s="3">
        <f t="shared" ref="N36:N54" si="16">ABS(M36-I36)</f>
        <v>0</v>
      </c>
      <c r="O36">
        <v>0.39530366495743208</v>
      </c>
      <c r="P36" t="e">
        <v>#N/A</v>
      </c>
    </row>
    <row r="37" spans="2:16" x14ac:dyDescent="0.25">
      <c r="B37" s="5">
        <f t="shared" si="14"/>
        <v>4064.1876352000004</v>
      </c>
      <c r="C37" s="5">
        <f t="shared" si="9"/>
        <v>4068.0968450288842</v>
      </c>
      <c r="D37" s="3">
        <f t="shared" ref="D37:D54" si="17">ABS(C37-B37)</f>
        <v>3.9092098288838315</v>
      </c>
      <c r="E37" s="5">
        <f t="shared" si="10"/>
        <v>2712.4823726000004</v>
      </c>
      <c r="F37" s="5">
        <f t="shared" si="11"/>
        <v>2733.8450904639822</v>
      </c>
      <c r="G37" s="5">
        <f t="shared" ref="G37:G54" si="18">ABS(F37-E37)</f>
        <v>21.362717863981743</v>
      </c>
      <c r="H37" s="5"/>
      <c r="I37" s="5">
        <f t="shared" si="12"/>
        <v>802.85849489999998</v>
      </c>
      <c r="J37" s="5">
        <f t="shared" si="13"/>
        <v>821.17284553662125</v>
      </c>
      <c r="K37" s="5">
        <f t="shared" ref="K37:K54" si="19">ABS(J37-I37)</f>
        <v>18.31435063662127</v>
      </c>
      <c r="M37" s="3">
        <f t="shared" si="15"/>
        <v>813.43364561132557</v>
      </c>
      <c r="N37" s="3">
        <f t="shared" si="16"/>
        <v>10.575150711325591</v>
      </c>
      <c r="O37">
        <v>0.99999869154747345</v>
      </c>
      <c r="P37">
        <v>13.717910345825782</v>
      </c>
    </row>
    <row r="38" spans="2:16" x14ac:dyDescent="0.25">
      <c r="B38" s="5">
        <f t="shared" si="14"/>
        <v>4064.1876352000004</v>
      </c>
      <c r="C38" s="5">
        <f t="shared" si="9"/>
        <v>4082.3708690465301</v>
      </c>
      <c r="D38" s="3">
        <f t="shared" si="17"/>
        <v>18.183233846529674</v>
      </c>
      <c r="E38" s="5">
        <f t="shared" si="10"/>
        <v>2712.4823726000004</v>
      </c>
      <c r="F38" s="5">
        <f t="shared" si="11"/>
        <v>2744.8909292133321</v>
      </c>
      <c r="G38" s="5">
        <f t="shared" si="18"/>
        <v>32.408556613331712</v>
      </c>
      <c r="H38" s="5"/>
      <c r="I38" s="5">
        <f t="shared" si="12"/>
        <v>2345.0725529000001</v>
      </c>
      <c r="J38" s="5">
        <f t="shared" si="13"/>
        <v>2357.0702047810428</v>
      </c>
      <c r="K38" s="5">
        <f t="shared" si="19"/>
        <v>11.997651881042657</v>
      </c>
      <c r="M38" s="3">
        <f t="shared" si="15"/>
        <v>2334.8558346251016</v>
      </c>
      <c r="N38" s="3">
        <f t="shared" si="16"/>
        <v>10.21671827489854</v>
      </c>
      <c r="O38">
        <v>14520951.088712927</v>
      </c>
      <c r="P38">
        <v>19</v>
      </c>
    </row>
    <row r="39" spans="2:16" x14ac:dyDescent="0.25">
      <c r="B39" s="5">
        <f t="shared" si="14"/>
        <v>4064.1876352000004</v>
      </c>
      <c r="C39" s="5">
        <f t="shared" si="9"/>
        <v>4090.9352834571168</v>
      </c>
      <c r="D39" s="3">
        <f t="shared" si="17"/>
        <v>26.747648257116452</v>
      </c>
      <c r="E39" s="5">
        <f t="shared" si="10"/>
        <v>2712.4823726000004</v>
      </c>
      <c r="F39" s="5">
        <f t="shared" si="11"/>
        <v>2714.5148726526204</v>
      </c>
      <c r="G39" s="5">
        <f t="shared" si="18"/>
        <v>2.0325000526199801</v>
      </c>
      <c r="H39" s="5"/>
      <c r="I39" s="5">
        <f t="shared" si="12"/>
        <v>5102.9141625000002</v>
      </c>
      <c r="J39" s="5">
        <f t="shared" si="13"/>
        <v>5155.1406414243447</v>
      </c>
      <c r="K39" s="5">
        <f t="shared" si="19"/>
        <v>52.226478924344519</v>
      </c>
      <c r="M39" s="3">
        <f t="shared" si="15"/>
        <v>5106.5556641155445</v>
      </c>
      <c r="N39" s="3">
        <f t="shared" si="16"/>
        <v>3.6415016155442572</v>
      </c>
      <c r="O39">
        <v>2732568029.8849764</v>
      </c>
      <c r="P39">
        <v>3575.4402208661668</v>
      </c>
    </row>
    <row r="40" spans="2:16" x14ac:dyDescent="0.25">
      <c r="B40" s="5">
        <f t="shared" si="14"/>
        <v>4064.1876352000004</v>
      </c>
      <c r="C40" s="5">
        <f t="shared" si="9"/>
        <v>4082.3708690465301</v>
      </c>
      <c r="D40" s="3">
        <f t="shared" si="17"/>
        <v>18.183233846529674</v>
      </c>
      <c r="E40" s="5">
        <f t="shared" si="10"/>
        <v>2712.4823726000004</v>
      </c>
      <c r="F40" s="5">
        <f t="shared" si="11"/>
        <v>2722.7992517146326</v>
      </c>
      <c r="G40" s="5">
        <f t="shared" si="18"/>
        <v>10.316879114632229</v>
      </c>
      <c r="H40" s="5"/>
      <c r="I40" s="5">
        <f t="shared" si="12"/>
        <v>8600.1113352000011</v>
      </c>
      <c r="J40" s="5">
        <f t="shared" si="13"/>
        <v>8683.1424963224217</v>
      </c>
      <c r="K40" s="5">
        <f t="shared" si="19"/>
        <v>83.031161122420599</v>
      </c>
      <c r="M40" s="3">
        <f t="shared" si="15"/>
        <v>8601.3076230382776</v>
      </c>
      <c r="N40" s="3">
        <f t="shared" si="16"/>
        <v>1.1962878382764757</v>
      </c>
    </row>
    <row r="41" spans="2:16" x14ac:dyDescent="0.25">
      <c r="B41" s="5">
        <f t="shared" si="14"/>
        <v>4064.1876352000004</v>
      </c>
      <c r="C41" s="5">
        <f t="shared" si="9"/>
        <v>4079.5160642430005</v>
      </c>
      <c r="D41" s="3">
        <f t="shared" si="17"/>
        <v>15.328429043000142</v>
      </c>
      <c r="E41" s="5">
        <f t="shared" si="10"/>
        <v>2712.4823726000004</v>
      </c>
      <c r="F41" s="5">
        <f t="shared" si="11"/>
        <v>2720.0377920272958</v>
      </c>
      <c r="G41" s="5">
        <f t="shared" si="18"/>
        <v>7.5554194272954192</v>
      </c>
      <c r="H41" s="5"/>
      <c r="I41" s="5">
        <f t="shared" si="12"/>
        <v>12451.1105565</v>
      </c>
      <c r="J41" s="5">
        <f t="shared" si="13"/>
        <v>12560.90315580091</v>
      </c>
      <c r="K41" s="5">
        <f t="shared" si="19"/>
        <v>109.7925993009103</v>
      </c>
      <c r="M41" s="3">
        <f t="shared" si="15"/>
        <v>12442.522060647314</v>
      </c>
      <c r="N41" s="3">
        <f t="shared" si="16"/>
        <v>8.58849585268581</v>
      </c>
    </row>
    <row r="42" spans="2:16" x14ac:dyDescent="0.25">
      <c r="B42" s="5">
        <f t="shared" si="14"/>
        <v>4064.1876352000004</v>
      </c>
      <c r="C42" s="5">
        <f t="shared" si="9"/>
        <v>4070.9516498324128</v>
      </c>
      <c r="D42" s="3">
        <f t="shared" si="17"/>
        <v>6.7640146324124544</v>
      </c>
      <c r="E42" s="5">
        <f t="shared" si="10"/>
        <v>2712.4823726000004</v>
      </c>
      <c r="F42" s="5">
        <f t="shared" si="11"/>
        <v>2733.8450904639822</v>
      </c>
      <c r="G42" s="5">
        <f t="shared" si="18"/>
        <v>21.362717863981743</v>
      </c>
      <c r="H42" s="5"/>
      <c r="I42" s="5">
        <f t="shared" si="12"/>
        <v>15794.086323400001</v>
      </c>
      <c r="J42" s="5">
        <f t="shared" si="13"/>
        <v>15936.83596522924</v>
      </c>
      <c r="K42" s="5">
        <f t="shared" si="19"/>
        <v>142.74964182923941</v>
      </c>
      <c r="M42" s="3">
        <f t="shared" si="15"/>
        <v>15786.638159271652</v>
      </c>
      <c r="N42" s="3">
        <f t="shared" si="16"/>
        <v>7.4481641283491626</v>
      </c>
    </row>
    <row r="43" spans="2:16" x14ac:dyDescent="0.25">
      <c r="B43" s="5">
        <f t="shared" si="14"/>
        <v>4064.1876352000004</v>
      </c>
      <c r="C43" s="5">
        <f t="shared" si="9"/>
        <v>4082.3708690465301</v>
      </c>
      <c r="D43" s="3">
        <f t="shared" si="17"/>
        <v>18.183233846529674</v>
      </c>
      <c r="E43" s="5">
        <f t="shared" si="10"/>
        <v>2712.4823726000004</v>
      </c>
      <c r="F43" s="5">
        <f t="shared" si="11"/>
        <v>2717.2763323399581</v>
      </c>
      <c r="G43" s="5">
        <f t="shared" si="18"/>
        <v>4.7939597399576996</v>
      </c>
      <c r="H43" s="5"/>
      <c r="I43" s="5">
        <f t="shared" si="12"/>
        <v>18134.622952599999</v>
      </c>
      <c r="J43" s="5">
        <f t="shared" si="13"/>
        <v>18309.113074557259</v>
      </c>
      <c r="K43" s="5">
        <f t="shared" si="19"/>
        <v>174.49012195726027</v>
      </c>
      <c r="M43" s="3">
        <f t="shared" si="15"/>
        <v>18136.557579926593</v>
      </c>
      <c r="N43" s="3">
        <f t="shared" si="16"/>
        <v>1.9346273265946365</v>
      </c>
    </row>
    <row r="44" spans="2:16" x14ac:dyDescent="0.25">
      <c r="B44" s="5">
        <f t="shared" si="14"/>
        <v>4064.1876352000004</v>
      </c>
      <c r="C44" s="5">
        <f t="shared" si="9"/>
        <v>4076.6612594394715</v>
      </c>
      <c r="D44" s="3">
        <f t="shared" si="17"/>
        <v>12.473624239471064</v>
      </c>
      <c r="E44" s="5">
        <f t="shared" si="10"/>
        <v>2712.4823726000004</v>
      </c>
      <c r="F44" s="5">
        <f t="shared" si="11"/>
        <v>2711.7534129652836</v>
      </c>
      <c r="G44" s="5">
        <f t="shared" si="18"/>
        <v>0.7289596347168299</v>
      </c>
      <c r="H44" s="5"/>
      <c r="I44" s="5">
        <f t="shared" si="12"/>
        <v>20398.048878900001</v>
      </c>
      <c r="J44" s="5">
        <f t="shared" si="13"/>
        <v>20574.941852056458</v>
      </c>
      <c r="K44" s="5">
        <f t="shared" si="19"/>
        <v>176.89297315645672</v>
      </c>
      <c r="M44" s="3">
        <f t="shared" si="15"/>
        <v>20381.031898372657</v>
      </c>
      <c r="N44" s="3">
        <f t="shared" si="16"/>
        <v>17.016980527343549</v>
      </c>
    </row>
    <row r="45" spans="2:16" x14ac:dyDescent="0.25">
      <c r="B45" s="5">
        <f t="shared" si="14"/>
        <v>4064.1876352000004</v>
      </c>
      <c r="C45" s="5">
        <f t="shared" si="9"/>
        <v>4093.7900882606455</v>
      </c>
      <c r="D45" s="3">
        <f t="shared" si="17"/>
        <v>29.602453060645075</v>
      </c>
      <c r="E45" s="5">
        <f t="shared" si="10"/>
        <v>2712.4823726000004</v>
      </c>
      <c r="F45" s="5">
        <f t="shared" si="11"/>
        <v>2722.7992517146326</v>
      </c>
      <c r="G45" s="5">
        <f t="shared" si="18"/>
        <v>10.316879114632229</v>
      </c>
      <c r="H45" s="5"/>
      <c r="I45" s="5">
        <f t="shared" si="12"/>
        <v>21804.185225900001</v>
      </c>
      <c r="J45" s="5">
        <f t="shared" si="13"/>
        <v>22019.597784019032</v>
      </c>
      <c r="K45" s="5">
        <f t="shared" si="19"/>
        <v>215.41255811903102</v>
      </c>
      <c r="M45" s="3">
        <f t="shared" si="15"/>
        <v>21812.072571207398</v>
      </c>
      <c r="N45" s="3">
        <f t="shared" si="16"/>
        <v>7.8873453073974815</v>
      </c>
    </row>
    <row r="46" spans="2:16" x14ac:dyDescent="0.25">
      <c r="B46" s="5">
        <f t="shared" si="14"/>
        <v>4064.1876352000004</v>
      </c>
      <c r="C46" s="5">
        <f t="shared" si="9"/>
        <v>4088.0804786535878</v>
      </c>
      <c r="D46" s="3">
        <f t="shared" si="17"/>
        <v>23.892843453587375</v>
      </c>
      <c r="E46" s="5">
        <f t="shared" si="10"/>
        <v>0</v>
      </c>
      <c r="F46" s="5">
        <f t="shared" si="11"/>
        <v>0</v>
      </c>
      <c r="G46" s="5">
        <f t="shared" si="18"/>
        <v>0</v>
      </c>
      <c r="H46" s="5"/>
      <c r="I46" s="5">
        <f t="shared" si="12"/>
        <v>21804.185225900001</v>
      </c>
      <c r="J46" s="5">
        <f t="shared" si="13"/>
        <v>22019.597784019032</v>
      </c>
      <c r="K46" s="5">
        <f t="shared" si="19"/>
        <v>215.41255811903102</v>
      </c>
      <c r="M46" s="3">
        <f t="shared" si="15"/>
        <v>21812.072571207398</v>
      </c>
      <c r="N46" s="3">
        <f t="shared" si="16"/>
        <v>7.8873453073974815</v>
      </c>
    </row>
    <row r="47" spans="2:16" x14ac:dyDescent="0.25">
      <c r="B47" s="5">
        <f t="shared" si="14"/>
        <v>4064.1876352000004</v>
      </c>
      <c r="C47" s="5">
        <f t="shared" si="9"/>
        <v>4096.6448930641745</v>
      </c>
      <c r="D47" s="3">
        <f t="shared" si="17"/>
        <v>32.457257864174153</v>
      </c>
      <c r="E47" s="5">
        <f t="shared" si="10"/>
        <v>2712.4823726000004</v>
      </c>
      <c r="F47" s="5">
        <f t="shared" si="11"/>
        <v>2722.7992517146326</v>
      </c>
      <c r="G47" s="5">
        <f t="shared" si="18"/>
        <v>10.316879114632229</v>
      </c>
      <c r="H47" s="5"/>
      <c r="I47" s="5">
        <f t="shared" si="12"/>
        <v>16401.9000992</v>
      </c>
      <c r="J47" s="5">
        <f t="shared" si="13"/>
        <v>16545.112147108222</v>
      </c>
      <c r="K47" s="5">
        <f t="shared" si="19"/>
        <v>143.2120479082223</v>
      </c>
      <c r="M47" s="3">
        <f t="shared" si="15"/>
        <v>16389.181600465228</v>
      </c>
      <c r="N47" s="3">
        <f t="shared" si="16"/>
        <v>12.718498734771856</v>
      </c>
    </row>
    <row r="48" spans="2:16" x14ac:dyDescent="0.25">
      <c r="B48" s="5">
        <f t="shared" si="14"/>
        <v>4064.1876352000004</v>
      </c>
      <c r="C48" s="5">
        <f t="shared" si="9"/>
        <v>4068.0968450288842</v>
      </c>
      <c r="D48" s="3">
        <f t="shared" si="17"/>
        <v>3.9092098288838315</v>
      </c>
      <c r="E48" s="5">
        <f t="shared" si="10"/>
        <v>2712.4823726000004</v>
      </c>
      <c r="F48" s="5">
        <f t="shared" si="11"/>
        <v>2722.7992517146326</v>
      </c>
      <c r="G48" s="5">
        <f t="shared" si="18"/>
        <v>10.316879114632229</v>
      </c>
      <c r="H48" s="5"/>
      <c r="I48" s="5">
        <f t="shared" si="12"/>
        <v>12473.790175</v>
      </c>
      <c r="J48" s="5">
        <f t="shared" si="13"/>
        <v>12591.316964894861</v>
      </c>
      <c r="K48" s="5">
        <f t="shared" si="19"/>
        <v>117.52678989486049</v>
      </c>
      <c r="M48" s="3">
        <f t="shared" si="15"/>
        <v>12472.649232706992</v>
      </c>
      <c r="N48" s="3">
        <f t="shared" si="16"/>
        <v>1.1409422930082656</v>
      </c>
    </row>
    <row r="49" spans="2:14" x14ac:dyDescent="0.25">
      <c r="B49" s="5">
        <f t="shared" si="14"/>
        <v>4064.1876352000004</v>
      </c>
      <c r="C49" s="5">
        <f t="shared" si="9"/>
        <v>4085.2256738500591</v>
      </c>
      <c r="D49" s="3">
        <f t="shared" si="17"/>
        <v>21.038038650058752</v>
      </c>
      <c r="E49" s="5">
        <f t="shared" si="10"/>
        <v>2712.4823726000004</v>
      </c>
      <c r="F49" s="5">
        <f t="shared" si="11"/>
        <v>2722.7992517146326</v>
      </c>
      <c r="G49" s="5">
        <f t="shared" si="18"/>
        <v>10.316879114632229</v>
      </c>
      <c r="H49" s="5"/>
      <c r="I49" s="5">
        <f t="shared" si="12"/>
        <v>8445.8899294000003</v>
      </c>
      <c r="J49" s="5">
        <f t="shared" si="13"/>
        <v>8561.4872599466271</v>
      </c>
      <c r="K49" s="5">
        <f t="shared" si="19"/>
        <v>115.59733054662684</v>
      </c>
      <c r="M49" s="3">
        <f t="shared" si="15"/>
        <v>8480.7989347995626</v>
      </c>
      <c r="N49" s="3">
        <f t="shared" si="16"/>
        <v>34.909005399562375</v>
      </c>
    </row>
    <row r="50" spans="2:14" x14ac:dyDescent="0.25">
      <c r="B50" s="5">
        <f t="shared" si="14"/>
        <v>4064.1876352000004</v>
      </c>
      <c r="C50" s="5">
        <f t="shared" si="9"/>
        <v>4088.0804786535878</v>
      </c>
      <c r="D50" s="3">
        <f t="shared" si="17"/>
        <v>23.892843453587375</v>
      </c>
      <c r="E50" s="5">
        <f t="shared" si="10"/>
        <v>2712.4823726000004</v>
      </c>
      <c r="F50" s="5">
        <f t="shared" si="11"/>
        <v>2717.2763323399581</v>
      </c>
      <c r="G50" s="5">
        <f t="shared" si="18"/>
        <v>4.7939597399576996</v>
      </c>
      <c r="H50" s="5"/>
      <c r="I50" s="5">
        <f t="shared" si="12"/>
        <v>4930.5490619000002</v>
      </c>
      <c r="J50" s="5">
        <f t="shared" si="13"/>
        <v>4987.8646914076262</v>
      </c>
      <c r="K50" s="5">
        <f t="shared" si="19"/>
        <v>57.315629507625999</v>
      </c>
      <c r="M50" s="3">
        <f t="shared" si="15"/>
        <v>4940.8562177873118</v>
      </c>
      <c r="N50" s="3">
        <f t="shared" si="16"/>
        <v>10.307155887311637</v>
      </c>
    </row>
    <row r="51" spans="2:14" x14ac:dyDescent="0.25">
      <c r="B51" s="5">
        <f t="shared" si="14"/>
        <v>4064.1876352000004</v>
      </c>
      <c r="C51" s="5">
        <f t="shared" si="9"/>
        <v>4085.2256738500591</v>
      </c>
      <c r="D51" s="3">
        <f t="shared" si="17"/>
        <v>21.038038650058752</v>
      </c>
      <c r="E51" s="5">
        <f t="shared" si="10"/>
        <v>2712.4823726000004</v>
      </c>
      <c r="F51" s="5">
        <f t="shared" si="11"/>
        <v>2722.7992517146326</v>
      </c>
      <c r="G51" s="5">
        <f t="shared" si="18"/>
        <v>10.316879114632229</v>
      </c>
      <c r="H51" s="5"/>
      <c r="I51" s="5">
        <f t="shared" si="12"/>
        <v>2290.6414685</v>
      </c>
      <c r="J51" s="5">
        <f>U27*453.59237</f>
        <v>2326.6563956870941</v>
      </c>
      <c r="K51" s="5">
        <f t="shared" si="19"/>
        <v>36.014927187094145</v>
      </c>
      <c r="M51" s="3">
        <f t="shared" si="15"/>
        <v>2304.7286625654228</v>
      </c>
      <c r="N51" s="3">
        <f t="shared" si="16"/>
        <v>14.087194065422864</v>
      </c>
    </row>
    <row r="52" spans="2:14" x14ac:dyDescent="0.25">
      <c r="B52" s="5">
        <f t="shared" si="14"/>
        <v>4064.1876352000004</v>
      </c>
      <c r="C52" s="5">
        <f t="shared" si="9"/>
        <v>4068.0968450288842</v>
      </c>
      <c r="D52" s="3">
        <f t="shared" si="17"/>
        <v>3.9092098288838315</v>
      </c>
      <c r="E52" s="5">
        <f t="shared" si="10"/>
        <v>2712.4823726000004</v>
      </c>
      <c r="F52" s="5">
        <f t="shared" si="11"/>
        <v>2708.9919532779459</v>
      </c>
      <c r="G52" s="5">
        <f t="shared" si="18"/>
        <v>3.4904193220545494</v>
      </c>
      <c r="H52" s="5"/>
      <c r="I52" s="5">
        <f t="shared" si="12"/>
        <v>802.85849489999998</v>
      </c>
      <c r="J52" s="5">
        <f>U28*453.59237</f>
        <v>836.3797500835957</v>
      </c>
      <c r="K52" s="5">
        <f t="shared" si="19"/>
        <v>33.521255183595713</v>
      </c>
      <c r="M52" s="3">
        <f t="shared" si="15"/>
        <v>828.49723164116494</v>
      </c>
      <c r="N52" s="3">
        <f t="shared" si="16"/>
        <v>25.638736741164962</v>
      </c>
    </row>
    <row r="53" spans="2:14" x14ac:dyDescent="0.25">
      <c r="B53" s="5">
        <f t="shared" si="14"/>
        <v>4064.1876352000004</v>
      </c>
      <c r="C53" s="5">
        <f t="shared" si="9"/>
        <v>4085.2256738500591</v>
      </c>
      <c r="D53" s="3">
        <f t="shared" si="17"/>
        <v>21.038038650058752</v>
      </c>
      <c r="E53" s="5">
        <f t="shared" si="10"/>
        <v>2712.4823726000004</v>
      </c>
      <c r="F53" s="5">
        <f t="shared" si="11"/>
        <v>2714.5148726526204</v>
      </c>
      <c r="G53" s="5">
        <f t="shared" si="18"/>
        <v>2.0325000526199801</v>
      </c>
      <c r="H53" s="5"/>
      <c r="I53" s="5">
        <f t="shared" si="12"/>
        <v>0</v>
      </c>
      <c r="J53" s="5">
        <f>U29*453.59237</f>
        <v>15.206904546974464</v>
      </c>
      <c r="K53" s="5">
        <f t="shared" si="19"/>
        <v>15.206904546974464</v>
      </c>
      <c r="M53" s="3">
        <f t="shared" si="15"/>
        <v>15.063586029839357</v>
      </c>
      <c r="N53" s="3">
        <f t="shared" si="16"/>
        <v>15.063586029839357</v>
      </c>
    </row>
    <row r="54" spans="2:14" x14ac:dyDescent="0.25">
      <c r="B54" s="5">
        <f t="shared" si="14"/>
        <v>0</v>
      </c>
      <c r="C54" s="5">
        <f t="shared" si="9"/>
        <v>2.8548048035290443</v>
      </c>
      <c r="D54" s="3">
        <f t="shared" si="17"/>
        <v>2.8548048035290443</v>
      </c>
      <c r="E54" s="5">
        <f t="shared" si="10"/>
        <v>0</v>
      </c>
      <c r="F54" s="5">
        <f t="shared" si="11"/>
        <v>0</v>
      </c>
      <c r="G54" s="5">
        <f t="shared" si="18"/>
        <v>0</v>
      </c>
      <c r="H54" s="5"/>
      <c r="I54" s="5">
        <f t="shared" si="12"/>
        <v>0</v>
      </c>
      <c r="J54" s="5">
        <f>U30*453.59237</f>
        <v>15.206904546974464</v>
      </c>
      <c r="K54" s="5">
        <f t="shared" si="19"/>
        <v>15.206904546974464</v>
      </c>
      <c r="M54" s="3">
        <f t="shared" si="15"/>
        <v>15.063586029839357</v>
      </c>
      <c r="N54" s="3">
        <f t="shared" si="16"/>
        <v>15.063586029839357</v>
      </c>
    </row>
    <row r="55" spans="2:14" x14ac:dyDescent="0.25">
      <c r="C55" t="s">
        <v>40</v>
      </c>
      <c r="D55" s="3">
        <f>AVERAGE(D39:D54)</f>
        <v>17.582057631782899</v>
      </c>
      <c r="F55" t="s">
        <v>40</v>
      </c>
      <c r="G55" s="3">
        <f>AVERAGE(G39:G54)</f>
        <v>6.7932319075623298</v>
      </c>
      <c r="H55" s="3"/>
      <c r="J55" t="s">
        <v>40</v>
      </c>
      <c r="K55" s="3">
        <f>AVERAGE(K39:K54)</f>
        <v>106.47561761566678</v>
      </c>
      <c r="M55" s="3">
        <f t="shared" si="15"/>
        <v>0</v>
      </c>
      <c r="N55" s="3">
        <f>AVERAGE(N39:N54)</f>
        <v>11.533090817781847</v>
      </c>
    </row>
    <row r="56" spans="2:14" x14ac:dyDescent="0.25">
      <c r="C56" t="s">
        <v>41</v>
      </c>
      <c r="D56" s="3">
        <f>MIN(D40:D54)</f>
        <v>2.8548048035290443</v>
      </c>
      <c r="F56" t="s">
        <v>41</v>
      </c>
      <c r="G56" s="3">
        <f>MIN(G40:G54)</f>
        <v>0</v>
      </c>
      <c r="H56" s="3"/>
      <c r="J56" t="s">
        <v>41</v>
      </c>
      <c r="K56" s="3">
        <f>MIN(K40:K54)</f>
        <v>15.206904546974464</v>
      </c>
      <c r="M56" s="3">
        <f t="shared" si="15"/>
        <v>0</v>
      </c>
      <c r="N56" s="3">
        <f>MIN(N40:N54)</f>
        <v>1.1409422930082656</v>
      </c>
    </row>
    <row r="57" spans="2:14" x14ac:dyDescent="0.25">
      <c r="C57" t="s">
        <v>42</v>
      </c>
      <c r="D57" s="3">
        <f>MAX(D39:D54)</f>
        <v>32.457257864174153</v>
      </c>
      <c r="F57" t="s">
        <v>42</v>
      </c>
      <c r="G57" s="3">
        <f>MAX(G39:G54)</f>
        <v>21.362717863981743</v>
      </c>
      <c r="H57" s="3"/>
      <c r="J57" t="s">
        <v>42</v>
      </c>
      <c r="K57" s="3">
        <f>MAX(K39:K54)</f>
        <v>215.41255811903102</v>
      </c>
      <c r="M57" t="s">
        <v>42</v>
      </c>
      <c r="N57" s="3">
        <f>MAX(N39:N54)</f>
        <v>34.909005399562375</v>
      </c>
    </row>
  </sheetData>
  <conditionalFormatting sqref="D35:D54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5:H54 K35:K54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281A-C56C-4487-9BC4-83C3B7858CA5}">
  <dimension ref="A1:W30"/>
  <sheetViews>
    <sheetView workbookViewId="0">
      <selection activeCell="T36" sqref="T36"/>
    </sheetView>
  </sheetViews>
  <sheetFormatPr defaultRowHeight="15" x14ac:dyDescent="0.25"/>
  <cols>
    <col min="1" max="1" width="13.5703125" bestFit="1" customWidth="1"/>
  </cols>
  <sheetData>
    <row r="1" spans="1:23" x14ac:dyDescent="0.25">
      <c r="F1" t="s">
        <v>12</v>
      </c>
      <c r="G1" t="s">
        <v>13</v>
      </c>
      <c r="H1" t="s">
        <v>27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</row>
    <row r="2" spans="1:23" x14ac:dyDescent="0.25">
      <c r="F2">
        <v>3.1949999999999998</v>
      </c>
      <c r="G2">
        <v>3.3029999999999999</v>
      </c>
      <c r="H2">
        <v>2.9990000000000001</v>
      </c>
      <c r="J2" t="s">
        <v>19</v>
      </c>
      <c r="K2" t="s">
        <v>15</v>
      </c>
      <c r="L2" t="s">
        <v>20</v>
      </c>
      <c r="M2" t="s">
        <v>17</v>
      </c>
      <c r="N2" t="s">
        <v>18</v>
      </c>
    </row>
    <row r="3" spans="1:23" x14ac:dyDescent="0.25">
      <c r="D3" t="s">
        <v>21</v>
      </c>
      <c r="F3">
        <v>4.9720000000000004</v>
      </c>
      <c r="G3">
        <v>4.9720000000000004</v>
      </c>
      <c r="H3">
        <v>4.9720000000000004</v>
      </c>
      <c r="J3" t="s">
        <v>43</v>
      </c>
      <c r="K3" t="s">
        <v>44</v>
      </c>
      <c r="L3" t="s">
        <v>45</v>
      </c>
      <c r="M3" t="s">
        <v>17</v>
      </c>
      <c r="N3" t="s">
        <v>46</v>
      </c>
    </row>
    <row r="4" spans="1:23" x14ac:dyDescent="0.25">
      <c r="D4" t="s">
        <v>26</v>
      </c>
      <c r="F4">
        <v>10</v>
      </c>
      <c r="G4">
        <v>10</v>
      </c>
      <c r="H4">
        <v>50</v>
      </c>
      <c r="J4" t="s">
        <v>22</v>
      </c>
      <c r="K4" t="s">
        <v>23</v>
      </c>
      <c r="L4" t="s">
        <v>24</v>
      </c>
      <c r="M4" t="s">
        <v>25</v>
      </c>
    </row>
    <row r="5" spans="1:23" x14ac:dyDescent="0.25">
      <c r="D5" t="s">
        <v>28</v>
      </c>
      <c r="F5">
        <f>F4/(F2*F3)</f>
        <v>0.62950330929889697</v>
      </c>
      <c r="G5">
        <f t="shared" ref="G5:H5" si="0">G4/(G2*G3)</f>
        <v>0.60892009482590848</v>
      </c>
      <c r="H5">
        <f t="shared" si="0"/>
        <v>3.3532228629709495</v>
      </c>
    </row>
    <row r="9" spans="1:23" x14ac:dyDescent="0.25">
      <c r="A9" t="s">
        <v>0</v>
      </c>
      <c r="B9" t="s">
        <v>1</v>
      </c>
      <c r="C9" t="s">
        <v>2</v>
      </c>
      <c r="D9" t="s">
        <v>3</v>
      </c>
      <c r="E9" t="s">
        <v>49</v>
      </c>
      <c r="F9" t="s">
        <v>4</v>
      </c>
      <c r="G9" t="s">
        <v>5</v>
      </c>
      <c r="H9" t="s">
        <v>6</v>
      </c>
      <c r="I9" t="s">
        <v>34</v>
      </c>
      <c r="K9" t="s">
        <v>7</v>
      </c>
      <c r="L9" t="s">
        <v>4</v>
      </c>
      <c r="M9" t="s">
        <v>5</v>
      </c>
      <c r="N9" t="s">
        <v>6</v>
      </c>
      <c r="O9" t="s">
        <v>7</v>
      </c>
      <c r="P9" t="s">
        <v>8</v>
      </c>
      <c r="R9" t="s">
        <v>29</v>
      </c>
      <c r="S9" t="s">
        <v>30</v>
      </c>
      <c r="T9" t="s">
        <v>34</v>
      </c>
      <c r="U9" s="2" t="s">
        <v>31</v>
      </c>
      <c r="V9" s="2" t="s">
        <v>32</v>
      </c>
      <c r="W9" s="2" t="s">
        <v>35</v>
      </c>
    </row>
    <row r="10" spans="1:23" x14ac:dyDescent="0.25">
      <c r="B10" t="s">
        <v>9</v>
      </c>
      <c r="C10" t="s">
        <v>9</v>
      </c>
      <c r="D10" t="s">
        <v>9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K10" t="s">
        <v>10</v>
      </c>
      <c r="L10" t="s">
        <v>11</v>
      </c>
      <c r="M10" t="s">
        <v>11</v>
      </c>
      <c r="N10" t="s">
        <v>11</v>
      </c>
      <c r="O10" t="s">
        <v>11</v>
      </c>
      <c r="P10" t="s">
        <v>9</v>
      </c>
      <c r="R10" t="s">
        <v>10</v>
      </c>
      <c r="S10" t="s">
        <v>10</v>
      </c>
      <c r="T10" t="s">
        <v>10</v>
      </c>
      <c r="U10" s="2" t="s">
        <v>33</v>
      </c>
      <c r="V10" s="2" t="s">
        <v>33</v>
      </c>
      <c r="W10" s="2" t="s">
        <v>33</v>
      </c>
    </row>
    <row r="11" spans="1:23" x14ac:dyDescent="0.25">
      <c r="A11" s="1">
        <v>46028.68509259259</v>
      </c>
      <c r="B11">
        <v>0</v>
      </c>
      <c r="C11">
        <v>0</v>
      </c>
      <c r="D11">
        <v>0</v>
      </c>
      <c r="E11" s="4">
        <f>D11*$H$2*$H$3/$H$4</f>
        <v>0</v>
      </c>
      <c r="F11">
        <v>0.43</v>
      </c>
      <c r="G11">
        <v>-0.79</v>
      </c>
      <c r="H11" s="4">
        <v>0.05</v>
      </c>
      <c r="I11" s="4">
        <f>H11-$H$11</f>
        <v>0</v>
      </c>
      <c r="J11">
        <f t="shared" ref="J11:J30" si="1">H11*$H$5</f>
        <v>0.16766114314854749</v>
      </c>
      <c r="K11">
        <v>0</v>
      </c>
      <c r="L11">
        <v>33.9</v>
      </c>
      <c r="M11">
        <v>6492.2</v>
      </c>
      <c r="N11">
        <v>4.5</v>
      </c>
      <c r="O11">
        <v>0</v>
      </c>
      <c r="P11">
        <v>-0.45900000000000002</v>
      </c>
      <c r="R11">
        <f t="shared" ref="R11:T12" si="2">F11-F$11</f>
        <v>0</v>
      </c>
      <c r="S11">
        <f t="shared" si="2"/>
        <v>0</v>
      </c>
      <c r="T11">
        <f t="shared" si="2"/>
        <v>0</v>
      </c>
      <c r="U11" s="4">
        <f t="shared" ref="U11:U30" si="3">R11*F$5</f>
        <v>0</v>
      </c>
      <c r="V11" s="4">
        <f t="shared" ref="V11:V30" si="4">S11*G$5</f>
        <v>0</v>
      </c>
      <c r="W11" s="4">
        <f t="shared" ref="W11:W30" si="5">T11*H$5</f>
        <v>0</v>
      </c>
    </row>
    <row r="12" spans="1:23" x14ac:dyDescent="0.25">
      <c r="A12" s="1">
        <v>46028.685752314814</v>
      </c>
      <c r="B12">
        <v>8.9600000000000009</v>
      </c>
      <c r="C12">
        <v>5.98</v>
      </c>
      <c r="D12">
        <v>0</v>
      </c>
      <c r="E12" s="4">
        <f t="shared" ref="E12:E30" si="6">D12*$H$2*$H$3/$H$4</f>
        <v>0</v>
      </c>
      <c r="F12">
        <v>14.71</v>
      </c>
      <c r="G12">
        <v>9.07</v>
      </c>
      <c r="H12" s="4">
        <v>0.05</v>
      </c>
      <c r="I12" s="4">
        <f t="shared" ref="I12:I30" si="7">H12-$H$11</f>
        <v>0</v>
      </c>
      <c r="J12">
        <f t="shared" si="1"/>
        <v>0.16766114314854749</v>
      </c>
      <c r="K12">
        <v>0</v>
      </c>
      <c r="L12">
        <v>61.7</v>
      </c>
      <c r="M12">
        <v>38</v>
      </c>
      <c r="N12">
        <v>0.2</v>
      </c>
      <c r="O12">
        <v>0</v>
      </c>
      <c r="P12">
        <v>37.118000000000002</v>
      </c>
      <c r="R12">
        <f t="shared" si="2"/>
        <v>14.280000000000001</v>
      </c>
      <c r="S12">
        <f t="shared" si="2"/>
        <v>9.86</v>
      </c>
      <c r="T12">
        <f t="shared" si="2"/>
        <v>0</v>
      </c>
      <c r="U12" s="4">
        <f t="shared" si="3"/>
        <v>8.9893072567882495</v>
      </c>
      <c r="V12" s="4">
        <f t="shared" si="4"/>
        <v>6.0039521349834573</v>
      </c>
      <c r="W12" s="4">
        <f t="shared" si="5"/>
        <v>0</v>
      </c>
    </row>
    <row r="13" spans="1:23" x14ac:dyDescent="0.25">
      <c r="A13" s="1">
        <v>46028.686435185184</v>
      </c>
      <c r="B13">
        <v>8.9600000000000009</v>
      </c>
      <c r="C13">
        <v>5.98</v>
      </c>
      <c r="D13">
        <v>1.77</v>
      </c>
      <c r="E13" s="4">
        <f t="shared" si="6"/>
        <v>0.5278503912000001</v>
      </c>
      <c r="F13">
        <v>14.68</v>
      </c>
      <c r="G13">
        <v>9.11</v>
      </c>
      <c r="H13" s="4">
        <v>0.59</v>
      </c>
      <c r="I13" s="4">
        <f t="shared" si="7"/>
        <v>0.53999999999999992</v>
      </c>
      <c r="J13">
        <f t="shared" si="1"/>
        <v>1.9784014891528601</v>
      </c>
      <c r="K13">
        <v>0</v>
      </c>
      <c r="L13">
        <v>60.3</v>
      </c>
      <c r="M13">
        <v>37.200000000000003</v>
      </c>
      <c r="N13">
        <v>2.4</v>
      </c>
      <c r="O13">
        <v>0</v>
      </c>
      <c r="P13">
        <v>37.953000000000003</v>
      </c>
      <c r="R13">
        <f t="shared" ref="R13:R30" si="8">F13-F$11</f>
        <v>14.25</v>
      </c>
      <c r="S13">
        <f t="shared" ref="S13:S30" si="9">G13-G$11</f>
        <v>9.8999999999999986</v>
      </c>
      <c r="T13">
        <f t="shared" ref="T13:T30" si="10">H13-H$11</f>
        <v>0.53999999999999992</v>
      </c>
      <c r="U13" s="4">
        <f t="shared" si="3"/>
        <v>8.9704221575092813</v>
      </c>
      <c r="V13" s="4">
        <f t="shared" si="4"/>
        <v>6.028308938776493</v>
      </c>
      <c r="W13" s="4">
        <f t="shared" si="5"/>
        <v>1.8107403460043126</v>
      </c>
    </row>
    <row r="14" spans="1:23" x14ac:dyDescent="0.25">
      <c r="A14" s="1">
        <v>46028.687141203707</v>
      </c>
      <c r="B14">
        <v>8.9600000000000009</v>
      </c>
      <c r="C14">
        <v>5.98</v>
      </c>
      <c r="D14">
        <v>5.17</v>
      </c>
      <c r="E14" s="4">
        <f t="shared" si="6"/>
        <v>1.5418002952000001</v>
      </c>
      <c r="F14">
        <v>14.73</v>
      </c>
      <c r="G14">
        <v>9.15</v>
      </c>
      <c r="H14" s="4">
        <v>1.6</v>
      </c>
      <c r="I14" s="4">
        <f t="shared" si="7"/>
        <v>1.55</v>
      </c>
      <c r="J14">
        <f t="shared" si="1"/>
        <v>5.3651565807535198</v>
      </c>
      <c r="K14">
        <v>0</v>
      </c>
      <c r="L14">
        <v>57.9</v>
      </c>
      <c r="M14">
        <v>35.6</v>
      </c>
      <c r="N14">
        <v>6.3</v>
      </c>
      <c r="O14">
        <v>0</v>
      </c>
      <c r="P14">
        <v>39.56</v>
      </c>
      <c r="R14">
        <f t="shared" si="8"/>
        <v>14.3</v>
      </c>
      <c r="S14">
        <f t="shared" si="9"/>
        <v>9.9400000000000013</v>
      </c>
      <c r="T14">
        <f t="shared" si="10"/>
        <v>1.55</v>
      </c>
      <c r="U14" s="4">
        <f t="shared" si="3"/>
        <v>9.0018973229742265</v>
      </c>
      <c r="V14" s="4">
        <f t="shared" si="4"/>
        <v>6.0526657425695314</v>
      </c>
      <c r="W14" s="4">
        <f t="shared" si="5"/>
        <v>5.1974954376049718</v>
      </c>
    </row>
    <row r="15" spans="1:23" x14ac:dyDescent="0.25">
      <c r="A15" s="1">
        <v>46028.688194444447</v>
      </c>
      <c r="B15">
        <v>8.9600000000000009</v>
      </c>
      <c r="C15">
        <v>5.98</v>
      </c>
      <c r="D15">
        <v>11.25</v>
      </c>
      <c r="E15" s="4">
        <f t="shared" si="6"/>
        <v>3.3549813000000004</v>
      </c>
      <c r="F15">
        <v>14.76</v>
      </c>
      <c r="G15">
        <v>9.0399999999999991</v>
      </c>
      <c r="H15" s="4">
        <v>3.44</v>
      </c>
      <c r="I15" s="4">
        <f t="shared" si="7"/>
        <v>3.39</v>
      </c>
      <c r="J15">
        <f t="shared" si="1"/>
        <v>11.535086648620066</v>
      </c>
      <c r="K15">
        <v>0</v>
      </c>
      <c r="L15">
        <v>54</v>
      </c>
      <c r="M15">
        <v>33.200000000000003</v>
      </c>
      <c r="N15">
        <v>12.6</v>
      </c>
      <c r="O15">
        <v>0</v>
      </c>
      <c r="P15">
        <v>42.399000000000001</v>
      </c>
      <c r="R15">
        <f t="shared" si="8"/>
        <v>14.33</v>
      </c>
      <c r="S15">
        <f t="shared" si="9"/>
        <v>9.8299999999999983</v>
      </c>
      <c r="T15">
        <f t="shared" si="10"/>
        <v>3.39</v>
      </c>
      <c r="U15" s="4">
        <f t="shared" si="3"/>
        <v>9.0207824222531929</v>
      </c>
      <c r="V15" s="4">
        <f t="shared" si="4"/>
        <v>5.9856845321386789</v>
      </c>
      <c r="W15" s="4">
        <f t="shared" si="5"/>
        <v>11.36742550547152</v>
      </c>
    </row>
    <row r="16" spans="1:23" x14ac:dyDescent="0.25">
      <c r="A16" s="1">
        <v>46028.688888888886</v>
      </c>
      <c r="B16">
        <v>8.9600000000000009</v>
      </c>
      <c r="C16">
        <v>5.98</v>
      </c>
      <c r="D16">
        <v>18.96</v>
      </c>
      <c r="E16" s="4">
        <f t="shared" si="6"/>
        <v>5.654261817600001</v>
      </c>
      <c r="F16">
        <v>14.73</v>
      </c>
      <c r="G16">
        <v>9.07</v>
      </c>
      <c r="H16" s="4">
        <v>5.76</v>
      </c>
      <c r="I16" s="4">
        <f t="shared" si="7"/>
        <v>5.71</v>
      </c>
      <c r="J16">
        <f t="shared" si="1"/>
        <v>19.314563690712667</v>
      </c>
      <c r="K16">
        <v>0</v>
      </c>
      <c r="L16">
        <v>49.8</v>
      </c>
      <c r="M16">
        <v>30.6</v>
      </c>
      <c r="N16">
        <v>19.5</v>
      </c>
      <c r="O16">
        <v>0</v>
      </c>
      <c r="P16">
        <v>46.014000000000003</v>
      </c>
      <c r="R16">
        <f t="shared" si="8"/>
        <v>14.3</v>
      </c>
      <c r="S16">
        <f t="shared" si="9"/>
        <v>9.86</v>
      </c>
      <c r="T16">
        <f t="shared" si="10"/>
        <v>5.71</v>
      </c>
      <c r="U16" s="4">
        <f t="shared" si="3"/>
        <v>9.0018973229742265</v>
      </c>
      <c r="V16" s="4">
        <f t="shared" si="4"/>
        <v>6.0039521349834573</v>
      </c>
      <c r="W16" s="4">
        <f t="shared" si="5"/>
        <v>19.146902547564121</v>
      </c>
    </row>
    <row r="17" spans="1:23" x14ac:dyDescent="0.25">
      <c r="A17" s="1">
        <v>46028.689583333333</v>
      </c>
      <c r="B17">
        <v>8.9600000000000009</v>
      </c>
      <c r="C17">
        <v>5.98</v>
      </c>
      <c r="D17">
        <v>27.45</v>
      </c>
      <c r="E17" s="4">
        <f t="shared" si="6"/>
        <v>8.1861543720000007</v>
      </c>
      <c r="F17">
        <v>14.72</v>
      </c>
      <c r="G17">
        <v>9.06</v>
      </c>
      <c r="H17" s="4">
        <v>8.31</v>
      </c>
      <c r="I17" s="4">
        <f t="shared" si="7"/>
        <v>8.26</v>
      </c>
      <c r="J17">
        <f t="shared" si="1"/>
        <v>27.865281991288594</v>
      </c>
      <c r="K17">
        <v>0</v>
      </c>
      <c r="L17">
        <v>45.8</v>
      </c>
      <c r="M17">
        <v>28.2</v>
      </c>
      <c r="N17">
        <v>25.8</v>
      </c>
      <c r="O17">
        <v>0</v>
      </c>
      <c r="P17">
        <v>49.985999999999997</v>
      </c>
      <c r="R17">
        <f t="shared" si="8"/>
        <v>14.290000000000001</v>
      </c>
      <c r="S17">
        <f t="shared" si="9"/>
        <v>9.8500000000000014</v>
      </c>
      <c r="T17">
        <f t="shared" si="10"/>
        <v>8.26</v>
      </c>
      <c r="U17" s="4">
        <f t="shared" si="3"/>
        <v>8.9956022898812389</v>
      </c>
      <c r="V17" s="4">
        <f t="shared" si="4"/>
        <v>5.997862934035199</v>
      </c>
      <c r="W17" s="4">
        <f t="shared" si="5"/>
        <v>27.697620848140041</v>
      </c>
    </row>
    <row r="18" spans="1:23" x14ac:dyDescent="0.25">
      <c r="A18" s="1">
        <v>46028.690972222219</v>
      </c>
      <c r="B18">
        <v>8.9600000000000009</v>
      </c>
      <c r="C18">
        <v>5.98</v>
      </c>
      <c r="D18">
        <v>34.82</v>
      </c>
      <c r="E18" s="4">
        <f t="shared" si="6"/>
        <v>10.384039899200001</v>
      </c>
      <c r="F18">
        <v>14.69</v>
      </c>
      <c r="G18">
        <v>9.11</v>
      </c>
      <c r="H18" s="4">
        <v>10.53</v>
      </c>
      <c r="I18" s="4">
        <f t="shared" si="7"/>
        <v>10.479999999999999</v>
      </c>
      <c r="J18">
        <f t="shared" si="1"/>
        <v>35.309436747084099</v>
      </c>
      <c r="K18">
        <v>0</v>
      </c>
      <c r="L18">
        <v>42.8</v>
      </c>
      <c r="M18">
        <v>26.4</v>
      </c>
      <c r="N18">
        <v>30.6</v>
      </c>
      <c r="O18">
        <v>0</v>
      </c>
      <c r="P18">
        <v>53.442999999999998</v>
      </c>
      <c r="R18">
        <f t="shared" si="8"/>
        <v>14.26</v>
      </c>
      <c r="S18">
        <f t="shared" si="9"/>
        <v>9.8999999999999986</v>
      </c>
      <c r="T18">
        <f t="shared" si="10"/>
        <v>10.479999999999999</v>
      </c>
      <c r="U18" s="4">
        <f t="shared" si="3"/>
        <v>8.9767171906022707</v>
      </c>
      <c r="V18" s="4">
        <f t="shared" si="4"/>
        <v>6.028308938776493</v>
      </c>
      <c r="W18" s="4">
        <f t="shared" si="5"/>
        <v>35.14177560393555</v>
      </c>
    </row>
    <row r="19" spans="1:23" x14ac:dyDescent="0.25">
      <c r="A19" s="1">
        <v>46028.691666666666</v>
      </c>
      <c r="B19">
        <v>8.9600000000000009</v>
      </c>
      <c r="C19">
        <v>5.98</v>
      </c>
      <c r="D19">
        <v>39.979999999999997</v>
      </c>
      <c r="E19" s="4">
        <f t="shared" si="6"/>
        <v>11.922857988800001</v>
      </c>
      <c r="F19">
        <v>14.73</v>
      </c>
      <c r="G19">
        <v>9.0500000000000007</v>
      </c>
      <c r="H19" s="4">
        <v>12.09</v>
      </c>
      <c r="I19" s="4">
        <f t="shared" si="7"/>
        <v>12.04</v>
      </c>
      <c r="J19">
        <f t="shared" si="1"/>
        <v>40.54046441331878</v>
      </c>
      <c r="K19">
        <v>0</v>
      </c>
      <c r="L19">
        <v>41</v>
      </c>
      <c r="M19">
        <v>25.2</v>
      </c>
      <c r="N19">
        <v>33.6</v>
      </c>
      <c r="O19">
        <v>0</v>
      </c>
      <c r="P19">
        <v>55.853999999999999</v>
      </c>
      <c r="R19">
        <f t="shared" si="8"/>
        <v>14.3</v>
      </c>
      <c r="S19">
        <f t="shared" si="9"/>
        <v>9.84</v>
      </c>
      <c r="T19">
        <f t="shared" si="10"/>
        <v>12.04</v>
      </c>
      <c r="U19" s="4">
        <f t="shared" si="3"/>
        <v>9.0018973229742265</v>
      </c>
      <c r="V19" s="4">
        <f t="shared" si="4"/>
        <v>5.9917737330869389</v>
      </c>
      <c r="W19" s="4">
        <f t="shared" si="5"/>
        <v>40.37280327017023</v>
      </c>
    </row>
    <row r="20" spans="1:23" x14ac:dyDescent="0.25">
      <c r="A20" s="1">
        <v>46028.692361111112</v>
      </c>
      <c r="B20">
        <v>8.9600000000000009</v>
      </c>
      <c r="C20">
        <v>5.98</v>
      </c>
      <c r="D20">
        <v>44.97</v>
      </c>
      <c r="E20" s="4">
        <f t="shared" si="6"/>
        <v>13.4109785832</v>
      </c>
      <c r="F20">
        <v>14.71</v>
      </c>
      <c r="G20">
        <v>9.0299999999999994</v>
      </c>
      <c r="H20" s="4">
        <v>13.58</v>
      </c>
      <c r="I20" s="4">
        <f t="shared" si="7"/>
        <v>13.53</v>
      </c>
      <c r="J20">
        <f t="shared" si="1"/>
        <v>45.536766479145491</v>
      </c>
      <c r="K20">
        <v>0</v>
      </c>
      <c r="L20">
        <v>39.299999999999997</v>
      </c>
      <c r="M20">
        <v>24.2</v>
      </c>
      <c r="N20">
        <v>36.299999999999997</v>
      </c>
      <c r="O20">
        <v>0</v>
      </c>
      <c r="P20">
        <v>58.192999999999998</v>
      </c>
      <c r="R20">
        <f t="shared" si="8"/>
        <v>14.280000000000001</v>
      </c>
      <c r="S20">
        <f t="shared" si="9"/>
        <v>9.82</v>
      </c>
      <c r="T20">
        <f t="shared" si="10"/>
        <v>13.53</v>
      </c>
      <c r="U20" s="4">
        <f t="shared" si="3"/>
        <v>8.9893072567882495</v>
      </c>
      <c r="V20" s="4">
        <f t="shared" si="4"/>
        <v>5.9795953311904215</v>
      </c>
      <c r="W20" s="4">
        <f t="shared" si="5"/>
        <v>45.369105335996942</v>
      </c>
    </row>
    <row r="21" spans="1:23" x14ac:dyDescent="0.25">
      <c r="A21" s="1">
        <v>46028.693055555559</v>
      </c>
      <c r="B21">
        <v>8.9600000000000009</v>
      </c>
      <c r="C21">
        <v>5.98</v>
      </c>
      <c r="D21">
        <v>48.07</v>
      </c>
      <c r="E21" s="4">
        <f t="shared" si="6"/>
        <v>14.335462319200003</v>
      </c>
      <c r="F21">
        <v>14.77</v>
      </c>
      <c r="G21">
        <v>9.07</v>
      </c>
      <c r="H21" s="4">
        <v>14.53</v>
      </c>
      <c r="I21" s="4">
        <f t="shared" si="7"/>
        <v>14.479999999999999</v>
      </c>
      <c r="J21">
        <f t="shared" si="1"/>
        <v>48.722328198967894</v>
      </c>
      <c r="K21">
        <v>0</v>
      </c>
      <c r="L21">
        <v>38.4</v>
      </c>
      <c r="M21">
        <v>23.6</v>
      </c>
      <c r="N21">
        <v>37.9</v>
      </c>
      <c r="O21">
        <v>0</v>
      </c>
      <c r="P21">
        <v>59.667000000000002</v>
      </c>
      <c r="R21">
        <f t="shared" si="8"/>
        <v>14.34</v>
      </c>
      <c r="S21">
        <f t="shared" si="9"/>
        <v>9.86</v>
      </c>
      <c r="T21">
        <f t="shared" si="10"/>
        <v>14.479999999999999</v>
      </c>
      <c r="U21" s="4">
        <f t="shared" si="3"/>
        <v>9.0270774553461823</v>
      </c>
      <c r="V21" s="4">
        <f t="shared" si="4"/>
        <v>6.0039521349834573</v>
      </c>
      <c r="W21" s="4">
        <f t="shared" si="5"/>
        <v>48.554667055819344</v>
      </c>
    </row>
    <row r="22" spans="1:23" x14ac:dyDescent="0.25">
      <c r="A22" s="1">
        <v>46028.693749999999</v>
      </c>
      <c r="B22">
        <v>8.9600000000000009</v>
      </c>
      <c r="C22">
        <v>0</v>
      </c>
      <c r="D22">
        <v>48.07</v>
      </c>
      <c r="E22" s="4">
        <f t="shared" si="6"/>
        <v>14.335462319200003</v>
      </c>
      <c r="F22">
        <v>14.75</v>
      </c>
      <c r="G22">
        <v>-0.79</v>
      </c>
      <c r="H22" s="4">
        <v>14.53</v>
      </c>
      <c r="I22" s="4">
        <f t="shared" si="7"/>
        <v>14.479999999999999</v>
      </c>
      <c r="J22">
        <f t="shared" si="1"/>
        <v>48.722328198967894</v>
      </c>
      <c r="K22">
        <v>0</v>
      </c>
      <c r="L22">
        <v>49</v>
      </c>
      <c r="M22">
        <v>6551</v>
      </c>
      <c r="N22">
        <v>48.3</v>
      </c>
      <c r="O22">
        <v>0</v>
      </c>
      <c r="P22">
        <v>44.317</v>
      </c>
      <c r="R22">
        <f t="shared" si="8"/>
        <v>14.32</v>
      </c>
      <c r="S22">
        <f t="shared" si="9"/>
        <v>0</v>
      </c>
      <c r="T22">
        <f t="shared" si="10"/>
        <v>14.479999999999999</v>
      </c>
      <c r="U22" s="4">
        <f t="shared" si="3"/>
        <v>9.0144873891602053</v>
      </c>
      <c r="V22" s="4">
        <f t="shared" si="4"/>
        <v>0</v>
      </c>
      <c r="W22" s="4">
        <f t="shared" si="5"/>
        <v>48.554667055819344</v>
      </c>
    </row>
    <row r="23" spans="1:23" x14ac:dyDescent="0.25">
      <c r="A23" s="1">
        <v>46028.694444444445</v>
      </c>
      <c r="B23">
        <v>8.9600000000000009</v>
      </c>
      <c r="C23">
        <v>5.98</v>
      </c>
      <c r="D23">
        <v>36.159999999999997</v>
      </c>
      <c r="E23" s="4">
        <f t="shared" si="6"/>
        <v>10.783655449600001</v>
      </c>
      <c r="F23">
        <v>14.78</v>
      </c>
      <c r="G23">
        <v>9.07</v>
      </c>
      <c r="H23" s="4">
        <v>10.93</v>
      </c>
      <c r="I23" s="4">
        <f t="shared" si="7"/>
        <v>10.879999999999999</v>
      </c>
      <c r="J23">
        <f t="shared" si="1"/>
        <v>36.650725892272476</v>
      </c>
      <c r="K23">
        <v>0</v>
      </c>
      <c r="L23">
        <v>42.4</v>
      </c>
      <c r="M23">
        <v>26</v>
      </c>
      <c r="N23">
        <v>31.4</v>
      </c>
      <c r="O23">
        <v>0</v>
      </c>
      <c r="P23">
        <v>54.073999999999998</v>
      </c>
      <c r="R23">
        <f t="shared" si="8"/>
        <v>14.35</v>
      </c>
      <c r="S23">
        <f t="shared" si="9"/>
        <v>9.86</v>
      </c>
      <c r="T23">
        <f t="shared" si="10"/>
        <v>10.879999999999999</v>
      </c>
      <c r="U23" s="4">
        <f t="shared" si="3"/>
        <v>9.0333724884391717</v>
      </c>
      <c r="V23" s="4">
        <f t="shared" si="4"/>
        <v>6.0039521349834573</v>
      </c>
      <c r="W23" s="4">
        <f t="shared" si="5"/>
        <v>36.483064749123926</v>
      </c>
    </row>
    <row r="24" spans="1:23" x14ac:dyDescent="0.25">
      <c r="A24" s="1">
        <v>46028.694444444445</v>
      </c>
      <c r="B24">
        <v>8.9600000000000009</v>
      </c>
      <c r="C24">
        <v>5.98</v>
      </c>
      <c r="D24">
        <v>27.5</v>
      </c>
      <c r="E24" s="4">
        <f t="shared" si="6"/>
        <v>8.2010653999999992</v>
      </c>
      <c r="F24">
        <v>14.68</v>
      </c>
      <c r="G24">
        <v>9.07</v>
      </c>
      <c r="H24" s="4">
        <v>8.33</v>
      </c>
      <c r="I24" s="4">
        <f t="shared" si="7"/>
        <v>8.2799999999999994</v>
      </c>
      <c r="J24">
        <f t="shared" si="1"/>
        <v>27.93234644854801</v>
      </c>
      <c r="K24">
        <v>0</v>
      </c>
      <c r="L24">
        <v>45.8</v>
      </c>
      <c r="M24">
        <v>28.2</v>
      </c>
      <c r="N24">
        <v>25.9</v>
      </c>
      <c r="O24">
        <v>0</v>
      </c>
      <c r="P24">
        <v>50.021000000000001</v>
      </c>
      <c r="R24">
        <f t="shared" si="8"/>
        <v>14.25</v>
      </c>
      <c r="S24">
        <f t="shared" si="9"/>
        <v>9.86</v>
      </c>
      <c r="T24">
        <f t="shared" si="10"/>
        <v>8.2799999999999994</v>
      </c>
      <c r="U24" s="4">
        <f t="shared" si="3"/>
        <v>8.9704221575092813</v>
      </c>
      <c r="V24" s="4">
        <f t="shared" si="4"/>
        <v>6.0039521349834573</v>
      </c>
      <c r="W24" s="4">
        <f t="shared" si="5"/>
        <v>27.76468530539946</v>
      </c>
    </row>
    <row r="25" spans="1:23" x14ac:dyDescent="0.25">
      <c r="A25" s="1">
        <v>46028.695138888892</v>
      </c>
      <c r="B25">
        <v>8.9600000000000009</v>
      </c>
      <c r="C25">
        <v>5.98</v>
      </c>
      <c r="D25">
        <v>18.62</v>
      </c>
      <c r="E25" s="4">
        <f t="shared" si="6"/>
        <v>5.5528668272000017</v>
      </c>
      <c r="F25">
        <v>14.74</v>
      </c>
      <c r="G25">
        <v>9.07</v>
      </c>
      <c r="H25" s="4">
        <v>5.68</v>
      </c>
      <c r="I25" s="4">
        <f t="shared" si="7"/>
        <v>5.63</v>
      </c>
      <c r="J25">
        <f t="shared" si="1"/>
        <v>19.046305861674991</v>
      </c>
      <c r="K25">
        <v>0</v>
      </c>
      <c r="L25">
        <v>49.9</v>
      </c>
      <c r="M25">
        <v>30.7</v>
      </c>
      <c r="N25">
        <v>19.2</v>
      </c>
      <c r="O25">
        <v>0</v>
      </c>
      <c r="P25">
        <v>45.898000000000003</v>
      </c>
      <c r="R25">
        <f t="shared" si="8"/>
        <v>14.31</v>
      </c>
      <c r="S25">
        <f t="shared" si="9"/>
        <v>9.86</v>
      </c>
      <c r="T25">
        <f t="shared" si="10"/>
        <v>5.63</v>
      </c>
      <c r="U25" s="4">
        <f t="shared" si="3"/>
        <v>9.0081923560672159</v>
      </c>
      <c r="V25" s="4">
        <f t="shared" si="4"/>
        <v>6.0039521349834573</v>
      </c>
      <c r="W25" s="4">
        <f t="shared" si="5"/>
        <v>18.878644718526445</v>
      </c>
    </row>
    <row r="26" spans="1:23" x14ac:dyDescent="0.25">
      <c r="A26" s="1">
        <v>46028.695833333331</v>
      </c>
      <c r="B26">
        <v>8.9600000000000009</v>
      </c>
      <c r="C26">
        <v>5.98</v>
      </c>
      <c r="D26">
        <v>10.87</v>
      </c>
      <c r="E26" s="4">
        <f t="shared" si="6"/>
        <v>3.2416574872000008</v>
      </c>
      <c r="F26">
        <v>14.75</v>
      </c>
      <c r="G26">
        <v>9.0500000000000007</v>
      </c>
      <c r="H26" s="4">
        <v>3.33</v>
      </c>
      <c r="I26" s="4">
        <f t="shared" si="7"/>
        <v>3.2800000000000002</v>
      </c>
      <c r="J26">
        <f t="shared" si="1"/>
        <v>11.166232133693262</v>
      </c>
      <c r="K26">
        <v>0</v>
      </c>
      <c r="L26">
        <v>54.2</v>
      </c>
      <c r="M26">
        <v>33.4</v>
      </c>
      <c r="N26">
        <v>12.2</v>
      </c>
      <c r="O26">
        <v>0</v>
      </c>
      <c r="P26">
        <v>42.238999999999997</v>
      </c>
      <c r="R26">
        <f t="shared" si="8"/>
        <v>14.32</v>
      </c>
      <c r="S26">
        <f t="shared" si="9"/>
        <v>9.84</v>
      </c>
      <c r="T26">
        <f t="shared" si="10"/>
        <v>3.2800000000000002</v>
      </c>
      <c r="U26" s="4">
        <f t="shared" si="3"/>
        <v>9.0144873891602053</v>
      </c>
      <c r="V26" s="4">
        <f t="shared" si="4"/>
        <v>5.9917737330869389</v>
      </c>
      <c r="W26" s="4">
        <f t="shared" si="5"/>
        <v>10.998570990544716</v>
      </c>
    </row>
    <row r="27" spans="1:23" x14ac:dyDescent="0.25">
      <c r="A27" s="1">
        <v>46028.695833333331</v>
      </c>
      <c r="B27">
        <v>8.9600000000000009</v>
      </c>
      <c r="C27">
        <v>5.98</v>
      </c>
      <c r="D27">
        <v>5.05</v>
      </c>
      <c r="E27" s="4">
        <f t="shared" si="6"/>
        <v>1.5060138280000002</v>
      </c>
      <c r="F27">
        <v>14.74</v>
      </c>
      <c r="G27">
        <v>9.07</v>
      </c>
      <c r="H27" s="4">
        <v>1.58</v>
      </c>
      <c r="I27" s="4">
        <f t="shared" si="7"/>
        <v>1.53</v>
      </c>
      <c r="J27">
        <f t="shared" si="1"/>
        <v>5.2980921234941007</v>
      </c>
      <c r="K27">
        <v>0</v>
      </c>
      <c r="L27">
        <v>58</v>
      </c>
      <c r="M27">
        <v>35.700000000000003</v>
      </c>
      <c r="N27">
        <v>6.2</v>
      </c>
      <c r="O27">
        <v>0</v>
      </c>
      <c r="P27">
        <v>39.518000000000001</v>
      </c>
      <c r="R27">
        <f t="shared" si="8"/>
        <v>14.31</v>
      </c>
      <c r="S27">
        <f t="shared" si="9"/>
        <v>9.86</v>
      </c>
      <c r="T27">
        <f t="shared" si="10"/>
        <v>1.53</v>
      </c>
      <c r="U27" s="4">
        <f t="shared" si="3"/>
        <v>9.0081923560672159</v>
      </c>
      <c r="V27" s="4">
        <f t="shared" si="4"/>
        <v>6.0039521349834573</v>
      </c>
      <c r="W27" s="4">
        <f t="shared" si="5"/>
        <v>5.1304309803455528</v>
      </c>
    </row>
    <row r="28" spans="1:23" x14ac:dyDescent="0.25">
      <c r="A28" s="1">
        <v>46028.696527777778</v>
      </c>
      <c r="B28">
        <v>8.9600000000000009</v>
      </c>
      <c r="C28">
        <v>5.98</v>
      </c>
      <c r="D28">
        <v>1.77</v>
      </c>
      <c r="E28" s="4">
        <f t="shared" si="6"/>
        <v>0.5278503912000001</v>
      </c>
      <c r="F28">
        <v>14.68</v>
      </c>
      <c r="G28">
        <v>9.02</v>
      </c>
      <c r="H28" s="4">
        <v>0.6</v>
      </c>
      <c r="I28" s="4">
        <f t="shared" si="7"/>
        <v>0.54999999999999993</v>
      </c>
      <c r="J28">
        <f t="shared" si="1"/>
        <v>2.0119337177825698</v>
      </c>
      <c r="K28">
        <v>0</v>
      </c>
      <c r="L28">
        <v>60.3</v>
      </c>
      <c r="M28">
        <v>37.1</v>
      </c>
      <c r="N28">
        <v>2.4</v>
      </c>
      <c r="O28">
        <v>0</v>
      </c>
      <c r="P28">
        <v>37.970999999999997</v>
      </c>
      <c r="R28">
        <f t="shared" si="8"/>
        <v>14.25</v>
      </c>
      <c r="S28">
        <f t="shared" si="9"/>
        <v>9.8099999999999987</v>
      </c>
      <c r="T28">
        <f t="shared" si="10"/>
        <v>0.54999999999999993</v>
      </c>
      <c r="U28" s="4">
        <f t="shared" si="3"/>
        <v>8.9704221575092813</v>
      </c>
      <c r="V28" s="4">
        <f t="shared" si="4"/>
        <v>5.9735061302421615</v>
      </c>
      <c r="W28" s="4">
        <f t="shared" si="5"/>
        <v>1.8442725746340221</v>
      </c>
    </row>
    <row r="29" spans="1:23" x14ac:dyDescent="0.25">
      <c r="A29" s="1">
        <v>46028.696527777778</v>
      </c>
      <c r="B29">
        <v>8.9600000000000009</v>
      </c>
      <c r="C29">
        <v>5.98</v>
      </c>
      <c r="D29">
        <v>0</v>
      </c>
      <c r="E29" s="4">
        <f t="shared" si="6"/>
        <v>0</v>
      </c>
      <c r="F29">
        <v>14.74</v>
      </c>
      <c r="G29">
        <v>9.0399999999999991</v>
      </c>
      <c r="H29" s="4">
        <v>0.06</v>
      </c>
      <c r="I29" s="4">
        <f t="shared" si="7"/>
        <v>9.999999999999995E-3</v>
      </c>
      <c r="J29">
        <f t="shared" si="1"/>
        <v>0.20119337177825697</v>
      </c>
      <c r="K29">
        <v>0</v>
      </c>
      <c r="L29">
        <v>61.7</v>
      </c>
      <c r="M29">
        <v>38</v>
      </c>
      <c r="N29">
        <v>0.2</v>
      </c>
      <c r="O29">
        <v>0</v>
      </c>
      <c r="P29">
        <v>37.152999999999999</v>
      </c>
      <c r="R29">
        <f t="shared" si="8"/>
        <v>14.31</v>
      </c>
      <c r="S29">
        <f t="shared" si="9"/>
        <v>9.8299999999999983</v>
      </c>
      <c r="T29">
        <f t="shared" si="10"/>
        <v>9.999999999999995E-3</v>
      </c>
      <c r="U29" s="4">
        <f t="shared" si="3"/>
        <v>9.0081923560672159</v>
      </c>
      <c r="V29" s="4">
        <f t="shared" si="4"/>
        <v>5.9856845321386789</v>
      </c>
      <c r="W29" s="4">
        <f t="shared" si="5"/>
        <v>3.3532228629709476E-2</v>
      </c>
    </row>
    <row r="30" spans="1:23" x14ac:dyDescent="0.25">
      <c r="A30" s="1">
        <v>46028.697222222225</v>
      </c>
      <c r="B30">
        <v>0</v>
      </c>
      <c r="C30">
        <v>0</v>
      </c>
      <c r="D30">
        <v>0</v>
      </c>
      <c r="E30" s="4">
        <f t="shared" si="6"/>
        <v>0</v>
      </c>
      <c r="F30">
        <v>0.44</v>
      </c>
      <c r="G30">
        <v>-0.79</v>
      </c>
      <c r="H30" s="4">
        <v>0.06</v>
      </c>
      <c r="I30" s="4">
        <f t="shared" si="7"/>
        <v>9.999999999999995E-3</v>
      </c>
      <c r="J30">
        <f t="shared" si="1"/>
        <v>0.20119337177825697</v>
      </c>
      <c r="K30">
        <v>0</v>
      </c>
      <c r="L30">
        <v>34.1</v>
      </c>
      <c r="M30">
        <v>6492.9</v>
      </c>
      <c r="N30">
        <v>5</v>
      </c>
      <c r="O30">
        <v>0</v>
      </c>
      <c r="P30">
        <v>-0.438</v>
      </c>
      <c r="R30">
        <f t="shared" si="8"/>
        <v>1.0000000000000009E-2</v>
      </c>
      <c r="S30">
        <f t="shared" si="9"/>
        <v>0</v>
      </c>
      <c r="T30">
        <f t="shared" si="10"/>
        <v>9.999999999999995E-3</v>
      </c>
      <c r="U30" s="4">
        <f t="shared" si="3"/>
        <v>6.2950330929889753E-3</v>
      </c>
      <c r="V30" s="4">
        <f t="shared" si="4"/>
        <v>0</v>
      </c>
      <c r="W30" s="4">
        <f t="shared" si="5"/>
        <v>3.3532228629709476E-2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LoadCalibration_2026-01-06_1626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M Milliren</cp:lastModifiedBy>
  <dcterms:created xsi:type="dcterms:W3CDTF">2026-06-01T21:46:00Z</dcterms:created>
  <dcterms:modified xsi:type="dcterms:W3CDTF">2026-06-08T21:45:26Z</dcterms:modified>
</cp:coreProperties>
</file>