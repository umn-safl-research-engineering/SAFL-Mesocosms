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illi079\Documents\GitHub\SAFL-Mesocosms\Calibrations\"/>
    </mc:Choice>
  </mc:AlternateContent>
  <xr:revisionPtr revIDLastSave="0" documentId="13_ncr:1_{E17EBA05-5088-4026-996C-77C8910CED2B}" xr6:coauthVersionLast="47" xr6:coauthVersionMax="47" xr10:uidLastSave="{00000000-0000-0000-0000-000000000000}"/>
  <bookViews>
    <workbookView xWindow="-24120" yWindow="660" windowWidth="24240" windowHeight="13020" xr2:uid="{97F5D55E-0765-4069-8CF4-3533445EA4C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7" i="1" l="1"/>
  <c r="L8" i="1"/>
  <c r="L9" i="1"/>
  <c r="L10" i="1"/>
  <c r="L11" i="1"/>
  <c r="L12" i="1"/>
  <c r="L13" i="1"/>
  <c r="L14" i="1"/>
  <c r="L15" i="1"/>
  <c r="L16" i="1"/>
  <c r="L17" i="1"/>
  <c r="L18" i="1"/>
  <c r="L19" i="1"/>
  <c r="L20" i="1"/>
  <c r="L21" i="1"/>
  <c r="L22" i="1"/>
  <c r="L23" i="1"/>
  <c r="L24" i="1"/>
  <c r="L25" i="1"/>
  <c r="L6" i="1"/>
  <c r="M6" i="1" s="1"/>
  <c r="N6" i="1" s="1"/>
  <c r="J6" i="1"/>
  <c r="J7" i="1"/>
  <c r="M7" i="1"/>
  <c r="N7" i="1" s="1"/>
  <c r="J8" i="1"/>
  <c r="M8" i="1"/>
  <c r="N8" i="1" s="1"/>
  <c r="J9" i="1"/>
  <c r="M9" i="1"/>
  <c r="N9" i="1" s="1"/>
  <c r="J10" i="1"/>
  <c r="M10" i="1"/>
  <c r="N10" i="1" s="1"/>
  <c r="J11" i="1"/>
  <c r="M11" i="1"/>
  <c r="N11" i="1" s="1"/>
  <c r="J12" i="1"/>
  <c r="M12" i="1"/>
  <c r="N12" i="1" s="1"/>
  <c r="J13" i="1"/>
  <c r="M13" i="1"/>
  <c r="N13" i="1" s="1"/>
  <c r="J14" i="1"/>
  <c r="M14" i="1"/>
  <c r="N14" i="1" s="1"/>
  <c r="J15" i="1"/>
  <c r="M15" i="1"/>
  <c r="N15" i="1" s="1"/>
  <c r="J16" i="1"/>
  <c r="M16" i="1"/>
  <c r="N16" i="1" s="1"/>
  <c r="J17" i="1"/>
  <c r="M17" i="1"/>
  <c r="N17" i="1" s="1"/>
  <c r="J18" i="1"/>
  <c r="M18" i="1"/>
  <c r="N18" i="1" s="1"/>
  <c r="J19" i="1"/>
  <c r="M19" i="1"/>
  <c r="N19" i="1" s="1"/>
  <c r="J20" i="1"/>
  <c r="M20" i="1"/>
  <c r="N20" i="1" s="1"/>
  <c r="J21" i="1"/>
  <c r="M21" i="1"/>
  <c r="N21" i="1" s="1"/>
  <c r="J22" i="1"/>
  <c r="M22" i="1"/>
  <c r="N22" i="1" s="1"/>
  <c r="J23" i="1"/>
  <c r="M23" i="1"/>
  <c r="N23" i="1" s="1"/>
  <c r="J24" i="1"/>
  <c r="M24" i="1"/>
  <c r="N24" i="1" s="1"/>
  <c r="J25" i="1"/>
  <c r="M25" i="1"/>
  <c r="N25" i="1" s="1"/>
  <c r="E25" i="1"/>
  <c r="F25" i="1"/>
  <c r="E7" i="1"/>
  <c r="F7" i="1" s="1"/>
  <c r="E8" i="1"/>
  <c r="F8" i="1" s="1"/>
  <c r="E9" i="1"/>
  <c r="F9" i="1" s="1"/>
  <c r="E10" i="1"/>
  <c r="F10" i="1" s="1"/>
  <c r="E11" i="1"/>
  <c r="F11" i="1" s="1"/>
  <c r="E12" i="1"/>
  <c r="F12" i="1" s="1"/>
  <c r="E13" i="1"/>
  <c r="F13" i="1" s="1"/>
  <c r="E14" i="1"/>
  <c r="F14" i="1" s="1"/>
  <c r="E15" i="1"/>
  <c r="F15" i="1" s="1"/>
  <c r="E16" i="1"/>
  <c r="F16" i="1" s="1"/>
  <c r="E17" i="1"/>
  <c r="F17" i="1" s="1"/>
  <c r="E18" i="1"/>
  <c r="F18" i="1" s="1"/>
  <c r="E19" i="1"/>
  <c r="F19" i="1" s="1"/>
  <c r="E20" i="1"/>
  <c r="F20" i="1" s="1"/>
  <c r="E21" i="1"/>
  <c r="F21" i="1" s="1"/>
  <c r="E22" i="1"/>
  <c r="F22" i="1" s="1"/>
  <c r="E23" i="1"/>
  <c r="F23" i="1" s="1"/>
  <c r="E24" i="1"/>
  <c r="F24" i="1" s="1"/>
  <c r="E6" i="1"/>
  <c r="F6" i="1" s="1"/>
  <c r="C7" i="1"/>
  <c r="C8" i="1"/>
  <c r="C9" i="1"/>
  <c r="C10" i="1"/>
  <c r="C11" i="1"/>
  <c r="C12" i="1"/>
  <c r="C13" i="1"/>
  <c r="C14" i="1"/>
  <c r="C15" i="1"/>
  <c r="C16" i="1"/>
  <c r="C17" i="1"/>
  <c r="C18" i="1"/>
  <c r="C19" i="1"/>
  <c r="C20" i="1"/>
  <c r="C21" i="1"/>
  <c r="C22" i="1"/>
  <c r="C23" i="1"/>
  <c r="C24" i="1"/>
  <c r="C25" i="1"/>
  <c r="C6" i="1"/>
  <c r="G25" i="1" l="1"/>
  <c r="G8" i="1"/>
  <c r="G10" i="1"/>
  <c r="G12" i="1"/>
  <c r="G14" i="1"/>
  <c r="G16" i="1"/>
  <c r="G18" i="1"/>
  <c r="G20" i="1"/>
  <c r="G22" i="1"/>
  <c r="G23" i="1"/>
  <c r="G6" i="1"/>
  <c r="G7" i="1"/>
  <c r="G9" i="1"/>
  <c r="G11" i="1"/>
  <c r="G13" i="1"/>
  <c r="G15" i="1"/>
  <c r="G17" i="1"/>
  <c r="G19" i="1"/>
  <c r="G21" i="1"/>
  <c r="G24" i="1"/>
</calcChain>
</file>

<file path=xl/sharedStrings.xml><?xml version="1.0" encoding="utf-8"?>
<sst xmlns="http://schemas.openxmlformats.org/spreadsheetml/2006/main" count="20" uniqueCount="8">
  <si>
    <t>Test Weight</t>
  </si>
  <si>
    <t>lbs</t>
  </si>
  <si>
    <t>mL equiv</t>
  </si>
  <si>
    <t>Measured</t>
  </si>
  <si>
    <t>lbs (zeroed)</t>
  </si>
  <si>
    <t>Campbell Scientific CR1000Xe</t>
  </si>
  <si>
    <t>Laumas TLB4-MODBUSTCP</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</si>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</sst>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12"/>
      <color theme="1"/>
      <name val="Arial"/>
      <family val="2"/>
    </font>
  </fonts>
  <fills count="2">
    <fill>
      <patternFill patternType="none"/>
    </fill>
    <fill>
      <patternFill patternType="gray125"/>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3">
    <xf numFmtId="0" fontId="0" fillId="0" borderId="0" xfId="0"/>
    <xf numFmtId="2" fontId="0" fillId="0" borderId="1" xfId="0" applyNumberFormat="1" applyBorder="1"/>
    <xf numFmtId="2" fontId="0" fillId="0" borderId="2" xfId="0" applyNumberFormat="1" applyBorder="1"/>
    <xf numFmtId="2" fontId="0" fillId="0" borderId="9" xfId="0" applyNumberFormat="1" applyBorder="1"/>
    <xf numFmtId="164" fontId="0" fillId="0" borderId="10" xfId="0" applyNumberFormat="1" applyBorder="1"/>
    <xf numFmtId="2" fontId="0" fillId="0" borderId="11" xfId="0" applyNumberFormat="1" applyBorder="1"/>
    <xf numFmtId="164" fontId="0" fillId="0" borderId="12" xfId="0" applyNumberFormat="1" applyBorder="1"/>
    <xf numFmtId="2" fontId="0" fillId="0" borderId="6" xfId="0" applyNumberFormat="1" applyBorder="1"/>
    <xf numFmtId="164" fontId="0" fillId="0" borderId="8" xfId="0" applyNumberFormat="1" applyBorder="1"/>
    <xf numFmtId="2" fontId="0" fillId="0" borderId="7" xfId="0" applyNumberFormat="1" applyBorder="1"/>
    <xf numFmtId="0" fontId="1" fillId="0" borderId="14"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center"/>
    </xf>
    <xf numFmtId="0" fontId="1" fillId="0" borderId="17" xfId="0" applyFont="1" applyBorder="1"/>
    <xf numFmtId="0" fontId="1" fillId="0" borderId="13" xfId="0" applyFont="1" applyBorder="1" applyAlignment="1">
      <alignment horizontal="center"/>
    </xf>
    <xf numFmtId="164" fontId="0" fillId="0" borderId="18" xfId="0" applyNumberFormat="1" applyBorder="1"/>
    <xf numFmtId="164" fontId="0" fillId="0" borderId="19" xfId="0" applyNumberFormat="1" applyBorder="1"/>
    <xf numFmtId="164" fontId="0" fillId="0" borderId="20" xfId="0" applyNumberFormat="1" applyBorder="1"/>
    <xf numFmtId="164" fontId="0" fillId="0" borderId="21" xfId="0" applyNumberFormat="1" applyBorder="1"/>
    <xf numFmtId="164" fontId="0" fillId="0" borderId="22" xfId="0" applyNumberFormat="1" applyBorder="1"/>
    <xf numFmtId="164" fontId="0" fillId="0" borderId="23" xfId="0" applyNumberFormat="1" applyBorder="1"/>
    <xf numFmtId="0" fontId="2" fillId="0" borderId="26" xfId="0" applyFont="1" applyBorder="1" applyAlignment="1">
      <alignment horizontal="center"/>
    </xf>
    <xf numFmtId="0" fontId="2" fillId="0" borderId="27" xfId="0" applyFont="1" applyBorder="1" applyAlignment="1">
      <alignment horizontal="center"/>
    </xf>
    <xf numFmtId="0" fontId="2" fillId="0" borderId="28" xfId="0" applyFont="1" applyBorder="1" applyAlignment="1">
      <alignment horizontal="center"/>
    </xf>
    <xf numFmtId="0" fontId="0" fillId="0" borderId="29" xfId="0" applyBorder="1" applyAlignment="1">
      <alignment horizontal="left" vertical="top" wrapText="1"/>
    </xf>
    <xf numFmtId="0" fontId="0" fillId="0" borderId="25"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24" xfId="0" applyBorder="1" applyAlignment="1">
      <alignment horizontal="left" vertical="top" wrapText="1"/>
    </xf>
    <xf numFmtId="0" fontId="0" fillId="0" borderId="32" xfId="0" applyBorder="1" applyAlignment="1">
      <alignment horizontal="left" vertical="top" wrapText="1"/>
    </xf>
    <xf numFmtId="0" fontId="1" fillId="0" borderId="3" xfId="0" applyFont="1" applyBorder="1" applyAlignment="1">
      <alignment horizontal="center"/>
    </xf>
    <xf numFmtId="0" fontId="1" fillId="0" borderId="5" xfId="0" applyFont="1" applyBorder="1" applyAlignment="1">
      <alignment horizontal="center"/>
    </xf>
    <xf numFmtId="0" fontId="1" fillId="0" borderId="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38100</xdr:colOff>
      <xdr:row>1</xdr:row>
      <xdr:rowOff>19049</xdr:rowOff>
    </xdr:from>
    <xdr:to>
      <xdr:col>6</xdr:col>
      <xdr:colOff>676275</xdr:colOff>
      <xdr:row>2</xdr:row>
      <xdr:rowOff>3486150</xdr:rowOff>
    </xdr:to>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11377634-D005-9FB8-3726-DA70F9129342}"/>
                </a:ext>
              </a:extLst>
            </xdr:cNvPr>
            <xdr:cNvSpPr txBox="1"/>
          </xdr:nvSpPr>
          <xdr:spPr>
            <a:xfrm>
              <a:off x="647700" y="228599"/>
              <a:ext cx="4210050" cy="3657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Method:</a:t>
              </a:r>
            </a:p>
            <a:p>
              <a:r>
                <a:rPr lang="en-US" sz="1100"/>
                <a:t>Test conducted with a 50lb capacity Optima load cell (SN: 2210004) connected to the Laumas load cell transmitter.  The mV output was read from the transmitter over Modbus and the excitation voltage was considered to be stable and constant at 4.973V (measured at the start of the test with a Fluke 115 multimeter). Conversion from mV to lbs was done using the following equation: </a:t>
              </a:r>
            </a:p>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𝐿𝑜𝑎𝑑</m:t>
                    </m:r>
                    <m:r>
                      <a:rPr lang="en-US" sz="1100" b="0" i="1">
                        <a:latin typeface="Cambria Math" panose="02040503050406030204" pitchFamily="18" charset="0"/>
                      </a:rPr>
                      <m:t>=</m:t>
                    </m:r>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𝐹𝑆</m:t>
                            </m:r>
                          </m:sub>
                        </m:sSub>
                      </m:num>
                      <m:den>
                        <m:r>
                          <a:rPr lang="en-US" sz="1100" b="0" i="1">
                            <a:latin typeface="Cambria Math" panose="02040503050406030204" pitchFamily="18" charset="0"/>
                          </a:rPr>
                          <m:t>𝑚𝑉𝑉</m:t>
                        </m:r>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𝑥</m:t>
                            </m:r>
                          </m:sub>
                        </m:sSub>
                      </m:den>
                    </m:f>
                    <m:r>
                      <a:rPr lang="en-US" sz="1100" b="0" i="1">
                        <a:latin typeface="Cambria Math" panose="02040503050406030204" pitchFamily="18" charset="0"/>
                      </a:rPr>
                      <m:t> ∗</m:t>
                    </m:r>
                    <m:r>
                      <a:rPr lang="en-US" sz="1100" b="0" i="1">
                        <a:latin typeface="Cambria Math" panose="02040503050406030204" pitchFamily="18" charset="0"/>
                      </a:rPr>
                      <m:t>𝑚</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𝑚𝑒𝑎𝑠𝑢𝑟𝑒𝑑</m:t>
                        </m:r>
                      </m:sub>
                    </m:sSub>
                  </m:oMath>
                </m:oMathPara>
              </a14:m>
              <a:endParaRPr lang="en-US" sz="1100"/>
            </a:p>
            <a:p>
              <a:r>
                <a:rPr lang="en-US" sz="1100"/>
                <a:t>Where:</a:t>
              </a:r>
            </a:p>
            <a:p>
              <a:r>
                <a:rPr lang="en-US" sz="1100"/>
                <a:t>	</a:t>
              </a:r>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𝐹𝑆</m:t>
                      </m:r>
                    </m:sub>
                  </m:sSub>
                </m:oMath>
              </a14:m>
              <a:r>
                <a:rPr lang="en-US" sz="1100"/>
                <a:t> =     Full</a:t>
              </a:r>
              <a:r>
                <a:rPr lang="en-US" sz="1100" baseline="0"/>
                <a:t> Scale Load of the load cell</a:t>
              </a:r>
            </a:p>
            <a:p>
              <a:r>
                <a:rPr lang="en-US" sz="1100" baseline="0"/>
                <a:t>	</a:t>
              </a:r>
              <a14:m>
                <m:oMath xmlns:m="http://schemas.openxmlformats.org/officeDocument/2006/math">
                  <m:r>
                    <a:rPr lang="en-US" sz="1100" b="0" i="1" baseline="0">
                      <a:latin typeface="Cambria Math" panose="02040503050406030204" pitchFamily="18" charset="0"/>
                    </a:rPr>
                    <m:t>𝑚𝑉𝑉</m:t>
                  </m:r>
                </m:oMath>
              </a14:m>
              <a:r>
                <a:rPr lang="en-US" sz="1100" baseline="0"/>
                <a:t> = is the mV per Volt Excitation output of load cell</a:t>
              </a:r>
            </a:p>
            <a:p>
              <a:r>
                <a:rPr lang="en-US" sz="1100" baseline="0"/>
                <a:t>	</a:t>
              </a:r>
              <a14:m>
                <m:oMath xmlns:m="http://schemas.openxmlformats.org/officeDocument/2006/math">
                  <m:sSub>
                    <m:sSubPr>
                      <m:ctrlPr>
                        <a:rPr lang="en-US" sz="1100" b="0" i="1" baseline="0">
                          <a:latin typeface="Cambria Math" panose="02040503050406030204" pitchFamily="18" charset="0"/>
                        </a:rPr>
                      </m:ctrlPr>
                    </m:sSubPr>
                    <m:e>
                      <m:r>
                        <a:rPr lang="en-US" sz="1100" b="0" i="1" baseline="0">
                          <a:latin typeface="Cambria Math" panose="02040503050406030204" pitchFamily="18" charset="0"/>
                        </a:rPr>
                        <m:t>𝑉</m:t>
                      </m:r>
                    </m:e>
                    <m:sub>
                      <m:r>
                        <a:rPr lang="en-US" sz="1100" b="0" i="1" baseline="0">
                          <a:latin typeface="Cambria Math" panose="02040503050406030204" pitchFamily="18" charset="0"/>
                        </a:rPr>
                        <m:t>𝑥</m:t>
                      </m:r>
                    </m:sub>
                  </m:sSub>
                </m:oMath>
              </a14:m>
              <a:r>
                <a:rPr lang="en-US" sz="1100" baseline="0"/>
                <a:t> =        is the excitation voltage</a:t>
              </a:r>
            </a:p>
            <a:p>
              <a:r>
                <a:rPr lang="en-US" sz="1100" baseline="0"/>
                <a:t>	</a:t>
              </a:r>
              <a14:m>
                <m:oMath xmlns:m="http://schemas.openxmlformats.org/officeDocument/2006/math">
                  <m:r>
                    <a:rPr lang="en-US" sz="1100" b="0" i="1" baseline="0">
                      <a:latin typeface="Cambria Math" panose="02040503050406030204" pitchFamily="18" charset="0"/>
                    </a:rPr>
                    <m:t>𝑚</m:t>
                  </m:r>
                  <m:sSub>
                    <m:sSubPr>
                      <m:ctrlPr>
                        <a:rPr lang="en-US" sz="1100" b="0" i="1" baseline="0">
                          <a:latin typeface="Cambria Math" panose="02040503050406030204" pitchFamily="18" charset="0"/>
                        </a:rPr>
                      </m:ctrlPr>
                    </m:sSubPr>
                    <m:e>
                      <m:r>
                        <a:rPr lang="en-US" sz="1100" b="0" i="1" baseline="0">
                          <a:latin typeface="Cambria Math" panose="02040503050406030204" pitchFamily="18" charset="0"/>
                        </a:rPr>
                        <m:t>𝑉</m:t>
                      </m:r>
                    </m:e>
                    <m:sub>
                      <m:r>
                        <a:rPr lang="en-US" sz="1100" b="0" i="1" baseline="0">
                          <a:latin typeface="Cambria Math" panose="02040503050406030204" pitchFamily="18" charset="0"/>
                        </a:rPr>
                        <m:t>𝑚𝑒𝑎𝑠𝑢𝑟𝑒𝑑</m:t>
                      </m:r>
                    </m:sub>
                  </m:sSub>
                </m:oMath>
              </a14:m>
              <a:r>
                <a:rPr lang="en-US" sz="1100" baseline="0"/>
                <a:t> = is the measured millivolt output</a:t>
              </a:r>
            </a:p>
            <a:p>
              <a:endParaRPr lang="en-US" sz="1100" baseline="0"/>
            </a:p>
            <a:p>
              <a:r>
                <a:rPr lang="en-US" sz="1100" b="1"/>
                <a:t>Areas for Improvement:</a:t>
              </a:r>
            </a:p>
            <a:p>
              <a:r>
                <a:rPr lang="en-US" sz="1100" b="0"/>
                <a:t>The</a:t>
              </a:r>
              <a:r>
                <a:rPr lang="en-US" sz="1100" b="0" baseline="0"/>
                <a:t> results from this calibration could be used to create an equation that fits better than the one given above, which relies on the load cell manufacturer's specified mV/V sensitivity. </a:t>
              </a:r>
              <a:endParaRPr lang="en-US" sz="1100" b="0"/>
            </a:p>
            <a:p>
              <a:endParaRPr lang="en-US" sz="1100" b="0"/>
            </a:p>
          </xdr:txBody>
        </xdr:sp>
      </mc:Choice>
      <mc:Fallback>
        <xdr:sp macro="" textlink="">
          <xdr:nvSpPr>
            <xdr:cNvPr id="2" name="TextBox 1">
              <a:extLst>
                <a:ext uri="{FF2B5EF4-FFF2-40B4-BE49-F238E27FC236}">
                  <a16:creationId xmlns:a16="http://schemas.microsoft.com/office/drawing/2014/main" id="{11377634-D005-9FB8-3726-DA70F9129342}"/>
                </a:ext>
              </a:extLst>
            </xdr:cNvPr>
            <xdr:cNvSpPr txBox="1"/>
          </xdr:nvSpPr>
          <xdr:spPr>
            <a:xfrm>
              <a:off x="647700" y="228599"/>
              <a:ext cx="4210050" cy="3657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Method:</a:t>
              </a:r>
            </a:p>
            <a:p>
              <a:r>
                <a:rPr lang="en-US" sz="1100"/>
                <a:t>Test conducted with a 50lb capacity Optima load cell (SN: 2210004) connected to the Laumas load cell transmitter.  The mV output was read from the transmitter over Modbus and the excitation voltage was considered to be stable and constant at 4.973V (measured at the start of the test with a Fluke 115 multimeter). Conversion from mV to lbs was done using the following equation: </a:t>
              </a:r>
            </a:p>
            <a:p>
              <a:pPr/>
              <a:r>
                <a:rPr lang="en-US" sz="1100" b="0" i="0">
                  <a:latin typeface="Cambria Math" panose="02040503050406030204" pitchFamily="18" charset="0"/>
                </a:rPr>
                <a:t>𝐿𝑜𝑎𝑑=𝐿_𝐹𝑆/(𝑚𝑉𝑉∗𝑉_𝑥 )  ∗𝑚𝑉_𝑚𝑒𝑎𝑠𝑢𝑟𝑒𝑑</a:t>
              </a:r>
              <a:endParaRPr lang="en-US" sz="1100"/>
            </a:p>
            <a:p>
              <a:r>
                <a:rPr lang="en-US" sz="1100"/>
                <a:t>Where:</a:t>
              </a:r>
            </a:p>
            <a:p>
              <a:r>
                <a:rPr lang="en-US" sz="1100"/>
                <a:t>	</a:t>
              </a:r>
              <a:r>
                <a:rPr lang="en-US" sz="1100" b="0" i="0">
                  <a:latin typeface="Cambria Math" panose="02040503050406030204" pitchFamily="18" charset="0"/>
                </a:rPr>
                <a:t>𝐿_𝐹𝑆</a:t>
              </a:r>
              <a:r>
                <a:rPr lang="en-US" sz="1100"/>
                <a:t> =     Full</a:t>
              </a:r>
              <a:r>
                <a:rPr lang="en-US" sz="1100" baseline="0"/>
                <a:t> Scale Load of the load cell</a:t>
              </a:r>
            </a:p>
            <a:p>
              <a:r>
                <a:rPr lang="en-US" sz="1100" baseline="0"/>
                <a:t>	</a:t>
              </a:r>
              <a:r>
                <a:rPr lang="en-US" sz="1100" b="0" i="0" baseline="0">
                  <a:latin typeface="Cambria Math" panose="02040503050406030204" pitchFamily="18" charset="0"/>
                </a:rPr>
                <a:t>𝑚𝑉𝑉</a:t>
              </a:r>
              <a:r>
                <a:rPr lang="en-US" sz="1100" baseline="0"/>
                <a:t> = is the mV per Volt Excitation output of load cell</a:t>
              </a:r>
            </a:p>
            <a:p>
              <a:r>
                <a:rPr lang="en-US" sz="1100" baseline="0"/>
                <a:t>	</a:t>
              </a:r>
              <a:r>
                <a:rPr lang="en-US" sz="1100" b="0" i="0" baseline="0">
                  <a:latin typeface="Cambria Math" panose="02040503050406030204" pitchFamily="18" charset="0"/>
                </a:rPr>
                <a:t>𝑉_𝑥</a:t>
              </a:r>
              <a:r>
                <a:rPr lang="en-US" sz="1100" baseline="0"/>
                <a:t> =        is the excitation voltage</a:t>
              </a:r>
            </a:p>
            <a:p>
              <a:r>
                <a:rPr lang="en-US" sz="1100" baseline="0"/>
                <a:t>	</a:t>
              </a:r>
              <a:r>
                <a:rPr lang="en-US" sz="1100" b="0" i="0" baseline="0">
                  <a:latin typeface="Cambria Math" panose="02040503050406030204" pitchFamily="18" charset="0"/>
                </a:rPr>
                <a:t>𝑚𝑉_𝑚𝑒𝑎𝑠𝑢𝑟𝑒𝑑</a:t>
              </a:r>
              <a:r>
                <a:rPr lang="en-US" sz="1100" baseline="0"/>
                <a:t> = is the measured millivolt output</a:t>
              </a:r>
            </a:p>
            <a:p>
              <a:endParaRPr lang="en-US" sz="1100" baseline="0"/>
            </a:p>
            <a:p>
              <a:r>
                <a:rPr lang="en-US" sz="1100" b="1"/>
                <a:t>Areas for Improvement:</a:t>
              </a:r>
            </a:p>
            <a:p>
              <a:r>
                <a:rPr lang="en-US" sz="1100" b="0"/>
                <a:t>The</a:t>
              </a:r>
              <a:r>
                <a:rPr lang="en-US" sz="1100" b="0" baseline="0"/>
                <a:t> results from this calibration could be used to create an equation that fits better than the one given above, which relies on the load cell manufacturer's specified mV/V sensitivity. </a:t>
              </a:r>
              <a:endParaRPr lang="en-US" sz="1100" b="0"/>
            </a:p>
            <a:p>
              <a:endParaRPr lang="en-US" sz="1100" b="0"/>
            </a:p>
          </xdr:txBody>
        </xdr:sp>
      </mc:Fallback>
    </mc:AlternateContent>
    <xdr:clientData/>
  </xdr:twoCellAnchor>
  <xdr:twoCellAnchor>
    <xdr:from>
      <xdr:col>8</xdr:col>
      <xdr:colOff>28573</xdr:colOff>
      <xdr:row>1</xdr:row>
      <xdr:rowOff>28574</xdr:rowOff>
    </xdr:from>
    <xdr:to>
      <xdr:col>13</xdr:col>
      <xdr:colOff>676275</xdr:colOff>
      <xdr:row>2</xdr:row>
      <xdr:rowOff>3476625</xdr:rowOff>
    </xdr:to>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C3FAB8F1-FF98-42AF-82C5-A29ECF74803E}"/>
                </a:ext>
              </a:extLst>
            </xdr:cNvPr>
            <xdr:cNvSpPr txBox="1"/>
          </xdr:nvSpPr>
          <xdr:spPr>
            <a:xfrm>
              <a:off x="5534023" y="238124"/>
              <a:ext cx="4219577" cy="3638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Method:</a:t>
              </a:r>
            </a:p>
            <a:p>
              <a:r>
                <a:rPr lang="en-US" sz="1100"/>
                <a:t>Test conducted with a 50lb capacity Optima load cell (SN: 2210004) connected to a Campbell Scientific CR1000Xe datalogger.  Excitation</a:t>
              </a:r>
              <a:r>
                <a:rPr lang="en-US" sz="1100" baseline="0"/>
                <a:t> for the load cell was provided by the Vx2 port on the datalogger and the BrFull instruction in CRBasic was used to measure the loadcell on differential input channel 3. The output of this instruction is the mV output of the load cell divided by the excitation voltage. </a:t>
              </a:r>
              <a:r>
                <a:rPr lang="en-US" sz="1100"/>
                <a:t>Conversion to lbs was done using the following equation: </a:t>
              </a:r>
            </a:p>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𝐿𝑜𝑎𝑑</m:t>
                    </m:r>
                    <m:r>
                      <a:rPr lang="en-US" sz="1100" b="0" i="1">
                        <a:latin typeface="Cambria Math" panose="02040503050406030204" pitchFamily="18" charset="0"/>
                      </a:rPr>
                      <m:t>=</m:t>
                    </m:r>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𝐹𝑆</m:t>
                            </m:r>
                          </m:sub>
                        </m:sSub>
                      </m:num>
                      <m:den>
                        <m:r>
                          <a:rPr lang="en-US" sz="1100" b="0" i="1">
                            <a:latin typeface="Cambria Math" panose="02040503050406030204" pitchFamily="18" charset="0"/>
                          </a:rPr>
                          <m:t>𝑚𝑉𝑉</m:t>
                        </m:r>
                      </m:den>
                    </m:f>
                    <m:r>
                      <a:rPr lang="en-US" sz="1100" b="0" i="1">
                        <a:latin typeface="Cambria Math" panose="02040503050406030204" pitchFamily="18" charset="0"/>
                      </a:rPr>
                      <m:t> ∗</m:t>
                    </m:r>
                    <m:r>
                      <a:rPr lang="en-US" sz="1100" b="0" i="1">
                        <a:latin typeface="Cambria Math" panose="02040503050406030204" pitchFamily="18" charset="0"/>
                      </a:rPr>
                      <m:t>𝑋</m:t>
                    </m:r>
                  </m:oMath>
                </m:oMathPara>
              </a14:m>
              <a:endParaRPr lang="en-US" sz="1100"/>
            </a:p>
            <a:p>
              <a:r>
                <a:rPr lang="en-US" sz="1100"/>
                <a:t>Where:</a:t>
              </a:r>
            </a:p>
            <a:p>
              <a:r>
                <a:rPr lang="en-US" sz="1100"/>
                <a:t>	</a:t>
              </a:r>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𝐹𝑆</m:t>
                      </m:r>
                    </m:sub>
                  </m:sSub>
                </m:oMath>
              </a14:m>
              <a:r>
                <a:rPr lang="en-US" sz="1100"/>
                <a:t> =     Full</a:t>
              </a:r>
              <a:r>
                <a:rPr lang="en-US" sz="1100" baseline="0"/>
                <a:t> Scale Load of the load cell</a:t>
              </a:r>
            </a:p>
            <a:p>
              <a:r>
                <a:rPr lang="en-US" sz="1100" baseline="0"/>
                <a:t>	</a:t>
              </a:r>
              <a14:m>
                <m:oMath xmlns:m="http://schemas.openxmlformats.org/officeDocument/2006/math">
                  <m:r>
                    <a:rPr lang="en-US" sz="1100" b="0" i="1" baseline="0">
                      <a:latin typeface="Cambria Math" panose="02040503050406030204" pitchFamily="18" charset="0"/>
                    </a:rPr>
                    <m:t>𝑚𝑉𝑉</m:t>
                  </m:r>
                </m:oMath>
              </a14:m>
              <a:r>
                <a:rPr lang="en-US" sz="1100" baseline="0"/>
                <a:t> = is the mV per Volt Excitation output of load cell</a:t>
              </a:r>
            </a:p>
            <a:p>
              <a:r>
                <a:rPr lang="en-US" sz="1100" baseline="0"/>
                <a:t>	</a:t>
              </a:r>
              <a14:m>
                <m:oMath xmlns:m="http://schemas.openxmlformats.org/officeDocument/2006/math">
                  <m:r>
                    <a:rPr lang="en-US" sz="1100" b="0" i="1" baseline="0">
                      <a:latin typeface="Cambria Math" panose="02040503050406030204" pitchFamily="18" charset="0"/>
                    </a:rPr>
                    <m:t>𝑋</m:t>
                  </m:r>
                </m:oMath>
              </a14:m>
              <a:r>
                <a:rPr lang="en-US" sz="1100" baseline="0"/>
                <a:t> =        is the measured mV output of the load cell divided 	                by the excitation voltage.</a:t>
              </a:r>
            </a:p>
            <a:p>
              <a:r>
                <a:rPr lang="en-US" sz="1100" b="1"/>
                <a:t>Areas for Improvement:</a:t>
              </a:r>
            </a:p>
            <a:p>
              <a:r>
                <a:rPr lang="en-US" sz="1100" b="0"/>
                <a:t>The</a:t>
              </a:r>
              <a:r>
                <a:rPr lang="en-US" sz="1100" b="0" baseline="0"/>
                <a:t> results from this calibration could be used to create an equation that fits better than the one given above, which relies on the load cell manufacturer's specified mV/V sensitivity. </a:t>
              </a:r>
              <a:endParaRPr lang="en-US" sz="1100" b="0"/>
            </a:p>
            <a:p>
              <a:endParaRPr lang="en-US" sz="1100" b="0"/>
            </a:p>
          </xdr:txBody>
        </xdr:sp>
      </mc:Choice>
      <mc:Fallback>
        <xdr:sp macro="" textlink="">
          <xdr:nvSpPr>
            <xdr:cNvPr id="3" name="TextBox 2">
              <a:extLst>
                <a:ext uri="{FF2B5EF4-FFF2-40B4-BE49-F238E27FC236}">
                  <a16:creationId xmlns:a16="http://schemas.microsoft.com/office/drawing/2014/main" id="{C3FAB8F1-FF98-42AF-82C5-A29ECF74803E}"/>
                </a:ext>
              </a:extLst>
            </xdr:cNvPr>
            <xdr:cNvSpPr txBox="1"/>
          </xdr:nvSpPr>
          <xdr:spPr>
            <a:xfrm>
              <a:off x="5534023" y="238124"/>
              <a:ext cx="4219577" cy="3638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Method:</a:t>
              </a:r>
            </a:p>
            <a:p>
              <a:r>
                <a:rPr lang="en-US" sz="1100"/>
                <a:t>Test conducted with a 50lb capacity Optima load cell (SN: 2210004) connected to a Campbell Scientific CR1000Xe datalogger.  Excitation</a:t>
              </a:r>
              <a:r>
                <a:rPr lang="en-US" sz="1100" baseline="0"/>
                <a:t> for the load cell was provided by the Vx2 port on the datalogger and the BrFull instruction in CRBasic was used to measure the loadcell on differential input channel 3. The output of this instruction is the mV output of the load cell divided by the excitation voltage. </a:t>
              </a:r>
              <a:r>
                <a:rPr lang="en-US" sz="1100"/>
                <a:t>Conversion to lbs was done using the following equation: </a:t>
              </a:r>
            </a:p>
            <a:p>
              <a:pPr/>
              <a:r>
                <a:rPr lang="en-US" sz="1100" b="0" i="0">
                  <a:latin typeface="Cambria Math" panose="02040503050406030204" pitchFamily="18" charset="0"/>
                </a:rPr>
                <a:t>𝐿𝑜𝑎𝑑=𝐿_𝐹𝑆/𝑚𝑉𝑉  ∗𝑋</a:t>
              </a:r>
              <a:endParaRPr lang="en-US" sz="1100"/>
            </a:p>
            <a:p>
              <a:r>
                <a:rPr lang="en-US" sz="1100"/>
                <a:t>Where:</a:t>
              </a:r>
            </a:p>
            <a:p>
              <a:r>
                <a:rPr lang="en-US" sz="1100"/>
                <a:t>	</a:t>
              </a:r>
              <a:r>
                <a:rPr lang="en-US" sz="1100" b="0" i="0">
                  <a:latin typeface="Cambria Math" panose="02040503050406030204" pitchFamily="18" charset="0"/>
                </a:rPr>
                <a:t>𝐿_𝐹𝑆</a:t>
              </a:r>
              <a:r>
                <a:rPr lang="en-US" sz="1100"/>
                <a:t> =     Full</a:t>
              </a:r>
              <a:r>
                <a:rPr lang="en-US" sz="1100" baseline="0"/>
                <a:t> Scale Load of the load cell</a:t>
              </a:r>
            </a:p>
            <a:p>
              <a:r>
                <a:rPr lang="en-US" sz="1100" baseline="0"/>
                <a:t>	</a:t>
              </a:r>
              <a:r>
                <a:rPr lang="en-US" sz="1100" b="0" i="0" baseline="0">
                  <a:latin typeface="Cambria Math" panose="02040503050406030204" pitchFamily="18" charset="0"/>
                </a:rPr>
                <a:t>𝑚𝑉𝑉</a:t>
              </a:r>
              <a:r>
                <a:rPr lang="en-US" sz="1100" baseline="0"/>
                <a:t> = is the mV per Volt Excitation output of load cell</a:t>
              </a:r>
            </a:p>
            <a:p>
              <a:r>
                <a:rPr lang="en-US" sz="1100" baseline="0"/>
                <a:t>	</a:t>
              </a:r>
              <a:r>
                <a:rPr lang="en-US" sz="1100" b="0" i="0" baseline="0">
                  <a:latin typeface="Cambria Math" panose="02040503050406030204" pitchFamily="18" charset="0"/>
                </a:rPr>
                <a:t>𝑋</a:t>
              </a:r>
              <a:r>
                <a:rPr lang="en-US" sz="1100" baseline="0"/>
                <a:t> =        is the measured mV output of the load cell divided 	                by the excitation voltage.</a:t>
              </a:r>
            </a:p>
            <a:p>
              <a:r>
                <a:rPr lang="en-US" sz="1100" b="1"/>
                <a:t>Areas for Improvement:</a:t>
              </a:r>
            </a:p>
            <a:p>
              <a:r>
                <a:rPr lang="en-US" sz="1100" b="0"/>
                <a:t>The</a:t>
              </a:r>
              <a:r>
                <a:rPr lang="en-US" sz="1100" b="0" baseline="0"/>
                <a:t> results from this calibration could be used to create an equation that fits better than the one given above, which relies on the load cell manufacturer's specified mV/V sensitivity. </a:t>
              </a:r>
              <a:endParaRPr lang="en-US" sz="1100" b="0"/>
            </a:p>
            <a:p>
              <a:endParaRPr lang="en-US" sz="1100" b="0"/>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6EF09-CAB0-463D-AB3F-0D14EA8E7E8F}">
  <dimension ref="B1:N25"/>
  <sheetViews>
    <sheetView tabSelected="1" workbookViewId="0">
      <selection activeCell="R3" sqref="R3"/>
    </sheetView>
  </sheetViews>
  <sheetFormatPr defaultRowHeight="15" x14ac:dyDescent="0.25"/>
  <cols>
    <col min="2" max="7" width="10.7109375" customWidth="1"/>
    <col min="9" max="14" width="10.7109375" customWidth="1"/>
  </cols>
  <sheetData>
    <row r="1" spans="2:14" ht="16.5" thickBot="1" x14ac:dyDescent="0.3">
      <c r="B1" s="21" t="s">
        <v>6</v>
      </c>
      <c r="C1" s="22"/>
      <c r="D1" s="22"/>
      <c r="E1" s="22"/>
      <c r="F1" s="22"/>
      <c r="G1" s="23"/>
      <c r="I1" s="21" t="s">
        <v>5</v>
      </c>
      <c r="J1" s="22"/>
      <c r="K1" s="22"/>
      <c r="L1" s="22"/>
      <c r="M1" s="22"/>
      <c r="N1" s="23"/>
    </row>
    <row r="2" spans="2:14" x14ac:dyDescent="0.25">
      <c r="B2" s="24"/>
      <c r="C2" s="25"/>
      <c r="D2" s="25"/>
      <c r="E2" s="25"/>
      <c r="F2" s="25"/>
      <c r="G2" s="26"/>
      <c r="I2" s="24"/>
      <c r="J2" s="25"/>
      <c r="K2" s="25"/>
      <c r="L2" s="25"/>
      <c r="M2" s="25"/>
      <c r="N2" s="26"/>
    </row>
    <row r="3" spans="2:14" ht="278.25" customHeight="1" thickBot="1" x14ac:dyDescent="0.3">
      <c r="B3" s="27"/>
      <c r="C3" s="28"/>
      <c r="D3" s="28"/>
      <c r="E3" s="28"/>
      <c r="F3" s="28"/>
      <c r="G3" s="29"/>
      <c r="I3" s="27"/>
      <c r="J3" s="28"/>
      <c r="K3" s="28"/>
      <c r="L3" s="28"/>
      <c r="M3" s="28"/>
      <c r="N3" s="29"/>
    </row>
    <row r="4" spans="2:14" x14ac:dyDescent="0.25">
      <c r="B4" s="30" t="s">
        <v>0</v>
      </c>
      <c r="C4" s="31"/>
      <c r="D4" s="30" t="s">
        <v>3</v>
      </c>
      <c r="E4" s="32"/>
      <c r="F4" s="31"/>
      <c r="G4" s="13" t="s">
        <v>7</v>
      </c>
      <c r="I4" s="30" t="s">
        <v>0</v>
      </c>
      <c r="J4" s="31"/>
      <c r="K4" s="30" t="s">
        <v>3</v>
      </c>
      <c r="L4" s="32"/>
      <c r="M4" s="31"/>
      <c r="N4" s="13" t="s">
        <v>7</v>
      </c>
    </row>
    <row r="5" spans="2:14" ht="15.75" thickBot="1" x14ac:dyDescent="0.3">
      <c r="B5" s="10" t="s">
        <v>1</v>
      </c>
      <c r="C5" s="11" t="s">
        <v>2</v>
      </c>
      <c r="D5" s="10" t="s">
        <v>1</v>
      </c>
      <c r="E5" s="12" t="s">
        <v>4</v>
      </c>
      <c r="F5" s="11" t="s">
        <v>2</v>
      </c>
      <c r="G5" s="14" t="s">
        <v>2</v>
      </c>
      <c r="I5" s="10" t="s">
        <v>1</v>
      </c>
      <c r="J5" s="11" t="s">
        <v>2</v>
      </c>
      <c r="K5" s="10" t="s">
        <v>1</v>
      </c>
      <c r="L5" s="12" t="s">
        <v>4</v>
      </c>
      <c r="M5" s="11" t="s">
        <v>2</v>
      </c>
      <c r="N5" s="14" t="s">
        <v>2</v>
      </c>
    </row>
    <row r="6" spans="2:14" ht="15.75" thickTop="1" x14ac:dyDescent="0.25">
      <c r="B6" s="3">
        <v>0</v>
      </c>
      <c r="C6" s="4">
        <f>B6*453.59237</f>
        <v>0</v>
      </c>
      <c r="D6" s="3">
        <v>0.16762742886277462</v>
      </c>
      <c r="E6" s="2">
        <f>D6-$D$6</f>
        <v>0</v>
      </c>
      <c r="F6" s="15">
        <f>E6*453.59237</f>
        <v>0</v>
      </c>
      <c r="G6" s="20">
        <f t="shared" ref="G6:G25" si="0">F6-C6</f>
        <v>0</v>
      </c>
      <c r="I6" s="3">
        <v>0</v>
      </c>
      <c r="J6" s="4">
        <f>I6*453.59237</f>
        <v>0</v>
      </c>
      <c r="K6" s="3">
        <v>0.24099999999999999</v>
      </c>
      <c r="L6" s="2">
        <f>K6-$K$6</f>
        <v>0</v>
      </c>
      <c r="M6" s="4">
        <f>L6*453.59237</f>
        <v>0</v>
      </c>
      <c r="N6" s="20">
        <f>M6-J6</f>
        <v>0</v>
      </c>
    </row>
    <row r="7" spans="2:14" x14ac:dyDescent="0.25">
      <c r="B7" s="5">
        <v>0</v>
      </c>
      <c r="C7" s="6">
        <f t="shared" ref="C7:C25" si="1">B7*453.59237</f>
        <v>0</v>
      </c>
      <c r="D7" s="5">
        <v>0.16762742886277462</v>
      </c>
      <c r="E7" s="1">
        <f t="shared" ref="E7:E25" si="2">D7-$D$6</f>
        <v>0</v>
      </c>
      <c r="F7" s="16">
        <f t="shared" ref="F7:F25" si="3">E7*453.59237</f>
        <v>0</v>
      </c>
      <c r="G7" s="18">
        <f t="shared" si="0"/>
        <v>0</v>
      </c>
      <c r="I7" s="5">
        <v>0</v>
      </c>
      <c r="J7" s="6">
        <f t="shared" ref="J7:J25" si="4">I7*453.59237</f>
        <v>0</v>
      </c>
      <c r="K7" s="5">
        <v>0.24099999999999999</v>
      </c>
      <c r="L7" s="2">
        <f t="shared" ref="L7:L25" si="5">K7-$K$6</f>
        <v>0</v>
      </c>
      <c r="M7" s="6">
        <f t="shared" ref="M7:M25" si="6">L7*453.59237</f>
        <v>0</v>
      </c>
      <c r="N7" s="18">
        <f>M7-J7</f>
        <v>0</v>
      </c>
    </row>
    <row r="8" spans="2:14" x14ac:dyDescent="0.25">
      <c r="B8" s="5">
        <v>1.77</v>
      </c>
      <c r="C8" s="6">
        <f t="shared" si="1"/>
        <v>802.85849489999998</v>
      </c>
      <c r="D8" s="5">
        <v>1.9780036605807405</v>
      </c>
      <c r="E8" s="1">
        <f t="shared" si="2"/>
        <v>1.8103762317179659</v>
      </c>
      <c r="F8" s="16">
        <f t="shared" si="3"/>
        <v>821.17284553662137</v>
      </c>
      <c r="G8" s="18">
        <f t="shared" si="0"/>
        <v>18.314350636621384</v>
      </c>
      <c r="I8" s="5">
        <v>1.7</v>
      </c>
      <c r="J8" s="6">
        <f t="shared" si="4"/>
        <v>771.10702900000001</v>
      </c>
      <c r="K8" s="5">
        <v>1.94</v>
      </c>
      <c r="L8" s="2">
        <f t="shared" si="5"/>
        <v>1.6989999999999998</v>
      </c>
      <c r="M8" s="6">
        <f t="shared" si="6"/>
        <v>770.65343662999999</v>
      </c>
      <c r="N8" s="18">
        <f t="shared" ref="N8:N25" si="7">M8-J8</f>
        <v>-0.45359237000002395</v>
      </c>
    </row>
    <row r="9" spans="2:14" x14ac:dyDescent="0.25">
      <c r="B9" s="5">
        <v>5.17</v>
      </c>
      <c r="C9" s="6">
        <f t="shared" si="1"/>
        <v>2345.0725529000001</v>
      </c>
      <c r="D9" s="5">
        <v>5.364077723608788</v>
      </c>
      <c r="E9" s="1">
        <f t="shared" si="2"/>
        <v>5.1964502947460129</v>
      </c>
      <c r="F9" s="16">
        <f t="shared" si="3"/>
        <v>2357.0702047810428</v>
      </c>
      <c r="G9" s="18">
        <f t="shared" si="0"/>
        <v>11.997651881042657</v>
      </c>
      <c r="I9" s="5">
        <v>5.21</v>
      </c>
      <c r="J9" s="6">
        <f t="shared" si="4"/>
        <v>2363.2162477000002</v>
      </c>
      <c r="K9" s="5">
        <v>5.47</v>
      </c>
      <c r="L9" s="2">
        <f t="shared" si="5"/>
        <v>5.2290000000000001</v>
      </c>
      <c r="M9" s="6">
        <f t="shared" si="6"/>
        <v>2371.8345027300002</v>
      </c>
      <c r="N9" s="18">
        <f t="shared" si="7"/>
        <v>8.6182550300000003</v>
      </c>
    </row>
    <row r="10" spans="2:14" x14ac:dyDescent="0.25">
      <c r="B10" s="5">
        <v>11.25</v>
      </c>
      <c r="C10" s="6">
        <f t="shared" si="1"/>
        <v>5102.9141625000002</v>
      </c>
      <c r="D10" s="5">
        <v>11.532767105758893</v>
      </c>
      <c r="E10" s="1">
        <f t="shared" si="2"/>
        <v>11.365139676896119</v>
      </c>
      <c r="F10" s="16">
        <f t="shared" si="3"/>
        <v>5155.1406414243447</v>
      </c>
      <c r="G10" s="18">
        <f t="shared" si="0"/>
        <v>52.226478924344519</v>
      </c>
      <c r="I10" s="5">
        <v>11.6</v>
      </c>
      <c r="J10" s="6">
        <f t="shared" si="4"/>
        <v>5261.6714920000004</v>
      </c>
      <c r="K10" s="5">
        <v>11.87</v>
      </c>
      <c r="L10" s="2">
        <f t="shared" si="5"/>
        <v>11.629</v>
      </c>
      <c r="M10" s="6">
        <f t="shared" si="6"/>
        <v>5274.8256707299997</v>
      </c>
      <c r="N10" s="18">
        <f t="shared" si="7"/>
        <v>13.15417872999933</v>
      </c>
    </row>
    <row r="11" spans="2:14" x14ac:dyDescent="0.25">
      <c r="B11" s="5">
        <v>18.96</v>
      </c>
      <c r="C11" s="6">
        <f t="shared" si="1"/>
        <v>8600.1113352000011</v>
      </c>
      <c r="D11" s="5">
        <v>19.310679804991636</v>
      </c>
      <c r="E11" s="1">
        <f t="shared" si="2"/>
        <v>19.14305237612886</v>
      </c>
      <c r="F11" s="16">
        <f t="shared" si="3"/>
        <v>8683.1424963224217</v>
      </c>
      <c r="G11" s="18">
        <f t="shared" si="0"/>
        <v>83.031161122420599</v>
      </c>
      <c r="I11" s="5">
        <v>19.14</v>
      </c>
      <c r="J11" s="6">
        <f t="shared" si="4"/>
        <v>8681.7579618</v>
      </c>
      <c r="K11" s="5">
        <v>19.440000000000001</v>
      </c>
      <c r="L11" s="2">
        <f t="shared" si="5"/>
        <v>19.199000000000002</v>
      </c>
      <c r="M11" s="6">
        <f t="shared" si="6"/>
        <v>8708.5199116300009</v>
      </c>
      <c r="N11" s="18">
        <f t="shared" si="7"/>
        <v>26.761949830000958</v>
      </c>
    </row>
    <row r="12" spans="2:14" x14ac:dyDescent="0.25">
      <c r="B12" s="5">
        <v>27.45</v>
      </c>
      <c r="C12" s="6">
        <f t="shared" si="1"/>
        <v>12451.1105565</v>
      </c>
      <c r="D12" s="5">
        <v>27.859678676993145</v>
      </c>
      <c r="E12" s="1">
        <f t="shared" si="2"/>
        <v>27.692051248130369</v>
      </c>
      <c r="F12" s="16">
        <f t="shared" si="3"/>
        <v>12560.903155800912</v>
      </c>
      <c r="G12" s="18">
        <f t="shared" si="0"/>
        <v>109.79259930091212</v>
      </c>
      <c r="I12" s="5">
        <v>28.16</v>
      </c>
      <c r="J12" s="6">
        <f t="shared" si="4"/>
        <v>12773.161139200001</v>
      </c>
      <c r="K12" s="5">
        <v>28.49</v>
      </c>
      <c r="L12" s="2">
        <f t="shared" si="5"/>
        <v>28.248999999999999</v>
      </c>
      <c r="M12" s="6">
        <f t="shared" si="6"/>
        <v>12813.53086013</v>
      </c>
      <c r="N12" s="18">
        <f t="shared" si="7"/>
        <v>40.369720929998948</v>
      </c>
    </row>
    <row r="13" spans="2:14" x14ac:dyDescent="0.25">
      <c r="B13" s="5">
        <v>34.82</v>
      </c>
      <c r="C13" s="6">
        <f t="shared" si="1"/>
        <v>15794.086323400001</v>
      </c>
      <c r="D13" s="5">
        <v>35.302336518500333</v>
      </c>
      <c r="E13" s="1">
        <f t="shared" si="2"/>
        <v>35.13470908963756</v>
      </c>
      <c r="F13" s="16">
        <f t="shared" si="3"/>
        <v>15936.835965229244</v>
      </c>
      <c r="G13" s="18">
        <f t="shared" si="0"/>
        <v>142.74964182924305</v>
      </c>
      <c r="I13" s="5">
        <v>34.68</v>
      </c>
      <c r="J13" s="6">
        <f t="shared" si="4"/>
        <v>15730.583391600001</v>
      </c>
      <c r="K13" s="5">
        <v>35.04</v>
      </c>
      <c r="L13" s="2">
        <f t="shared" si="5"/>
        <v>34.798999999999999</v>
      </c>
      <c r="M13" s="6">
        <f t="shared" si="6"/>
        <v>15784.56088363</v>
      </c>
      <c r="N13" s="18">
        <f t="shared" si="7"/>
        <v>53.977492029998757</v>
      </c>
    </row>
    <row r="14" spans="2:14" x14ac:dyDescent="0.25">
      <c r="B14" s="5">
        <v>39.979999999999997</v>
      </c>
      <c r="C14" s="6">
        <f t="shared" si="1"/>
        <v>18134.622952599999</v>
      </c>
      <c r="D14" s="5">
        <v>40.532312299018905</v>
      </c>
      <c r="E14" s="1">
        <f t="shared" si="2"/>
        <v>40.364684870156132</v>
      </c>
      <c r="F14" s="16">
        <f t="shared" si="3"/>
        <v>18309.113074557263</v>
      </c>
      <c r="G14" s="18">
        <f t="shared" si="0"/>
        <v>174.49012195726391</v>
      </c>
      <c r="I14" s="5">
        <v>39.630000000000003</v>
      </c>
      <c r="J14" s="6">
        <f t="shared" si="4"/>
        <v>17975.865623100002</v>
      </c>
      <c r="K14" s="5">
        <v>39.99</v>
      </c>
      <c r="L14" s="2">
        <f t="shared" si="5"/>
        <v>39.749000000000002</v>
      </c>
      <c r="M14" s="6">
        <f t="shared" si="6"/>
        <v>18029.843115130003</v>
      </c>
      <c r="N14" s="18">
        <f t="shared" si="7"/>
        <v>53.977492030000576</v>
      </c>
    </row>
    <row r="15" spans="2:14" x14ac:dyDescent="0.25">
      <c r="B15" s="5">
        <v>44.97</v>
      </c>
      <c r="C15" s="6">
        <f t="shared" si="1"/>
        <v>20398.048878900001</v>
      </c>
      <c r="D15" s="5">
        <v>45.52760967912959</v>
      </c>
      <c r="E15" s="1">
        <f t="shared" si="2"/>
        <v>45.359982250266818</v>
      </c>
      <c r="F15" s="16">
        <f t="shared" si="3"/>
        <v>20574.941852056461</v>
      </c>
      <c r="G15" s="18">
        <f t="shared" si="0"/>
        <v>176.89297315646036</v>
      </c>
      <c r="I15" s="5">
        <v>44.58</v>
      </c>
      <c r="J15" s="6">
        <f t="shared" si="4"/>
        <v>20221.1478546</v>
      </c>
      <c r="K15" s="5">
        <v>44.95</v>
      </c>
      <c r="L15" s="2">
        <f t="shared" si="5"/>
        <v>44.709000000000003</v>
      </c>
      <c r="M15" s="6">
        <f t="shared" si="6"/>
        <v>20279.661270330002</v>
      </c>
      <c r="N15" s="18">
        <f t="shared" si="7"/>
        <v>58.513415730001725</v>
      </c>
    </row>
    <row r="16" spans="2:14" x14ac:dyDescent="0.25">
      <c r="B16" s="5">
        <v>48.07</v>
      </c>
      <c r="C16" s="6">
        <f t="shared" si="1"/>
        <v>21804.185225900001</v>
      </c>
      <c r="D16" s="5">
        <v>48.712530827522301</v>
      </c>
      <c r="E16" s="1">
        <f t="shared" si="2"/>
        <v>48.544903398659528</v>
      </c>
      <c r="F16" s="16">
        <f t="shared" si="3"/>
        <v>22019.597784019032</v>
      </c>
      <c r="G16" s="18">
        <f t="shared" si="0"/>
        <v>215.41255811903102</v>
      </c>
      <c r="I16" s="5">
        <v>48.07</v>
      </c>
      <c r="J16" s="6">
        <f t="shared" si="4"/>
        <v>21804.185225900001</v>
      </c>
      <c r="K16" s="5">
        <v>48.49</v>
      </c>
      <c r="L16" s="2">
        <f t="shared" si="5"/>
        <v>48.249000000000002</v>
      </c>
      <c r="M16" s="6">
        <f t="shared" si="6"/>
        <v>21885.378260130001</v>
      </c>
      <c r="N16" s="18">
        <f t="shared" si="7"/>
        <v>81.193034230000194</v>
      </c>
    </row>
    <row r="17" spans="2:14" x14ac:dyDescent="0.25">
      <c r="B17" s="5">
        <v>48.07</v>
      </c>
      <c r="C17" s="6">
        <f t="shared" si="1"/>
        <v>21804.185225900001</v>
      </c>
      <c r="D17" s="5">
        <v>48.712530827522301</v>
      </c>
      <c r="E17" s="1">
        <f t="shared" si="2"/>
        <v>48.544903398659528</v>
      </c>
      <c r="F17" s="16">
        <f t="shared" si="3"/>
        <v>22019.597784019032</v>
      </c>
      <c r="G17" s="18">
        <f t="shared" si="0"/>
        <v>215.41255811903102</v>
      </c>
      <c r="I17" s="5">
        <v>48.07</v>
      </c>
      <c r="J17" s="6">
        <f t="shared" si="4"/>
        <v>21804.185225900001</v>
      </c>
      <c r="K17" s="5">
        <v>48.49</v>
      </c>
      <c r="L17" s="2">
        <f t="shared" si="5"/>
        <v>48.249000000000002</v>
      </c>
      <c r="M17" s="6">
        <f t="shared" si="6"/>
        <v>21885.378260130001</v>
      </c>
      <c r="N17" s="18">
        <f t="shared" si="7"/>
        <v>81.193034230000194</v>
      </c>
    </row>
    <row r="18" spans="2:14" x14ac:dyDescent="0.25">
      <c r="B18" s="5">
        <v>36.159999999999997</v>
      </c>
      <c r="C18" s="6">
        <f t="shared" si="1"/>
        <v>16401.9000992</v>
      </c>
      <c r="D18" s="5">
        <v>36.643355949402533</v>
      </c>
      <c r="E18" s="1">
        <f t="shared" si="2"/>
        <v>36.475728520539761</v>
      </c>
      <c r="F18" s="16">
        <f t="shared" si="3"/>
        <v>16545.112147108226</v>
      </c>
      <c r="G18" s="18">
        <f t="shared" si="0"/>
        <v>143.21204790822594</v>
      </c>
      <c r="I18" s="5">
        <v>35.97</v>
      </c>
      <c r="J18" s="6">
        <f t="shared" si="4"/>
        <v>16315.7175489</v>
      </c>
      <c r="K18" s="5">
        <v>36.33</v>
      </c>
      <c r="L18" s="2">
        <f t="shared" si="5"/>
        <v>36.088999999999999</v>
      </c>
      <c r="M18" s="6">
        <f t="shared" si="6"/>
        <v>16369.695040930001</v>
      </c>
      <c r="N18" s="18">
        <f t="shared" si="7"/>
        <v>53.977492030000576</v>
      </c>
    </row>
    <row r="19" spans="2:14" x14ac:dyDescent="0.25">
      <c r="B19" s="5">
        <v>27.5</v>
      </c>
      <c r="C19" s="6">
        <f t="shared" si="1"/>
        <v>12473.790175</v>
      </c>
      <c r="D19" s="5">
        <v>27.926729648538252</v>
      </c>
      <c r="E19" s="1">
        <f t="shared" si="2"/>
        <v>27.759102219675476</v>
      </c>
      <c r="F19" s="16">
        <f t="shared" si="3"/>
        <v>12591.316964894861</v>
      </c>
      <c r="G19" s="18">
        <f t="shared" si="0"/>
        <v>117.52678989486049</v>
      </c>
      <c r="I19" s="5">
        <v>27.37</v>
      </c>
      <c r="J19" s="6">
        <f t="shared" si="4"/>
        <v>12414.823166900002</v>
      </c>
      <c r="K19" s="5">
        <v>27.72</v>
      </c>
      <c r="L19" s="2">
        <f t="shared" si="5"/>
        <v>27.478999999999999</v>
      </c>
      <c r="M19" s="6">
        <f t="shared" si="6"/>
        <v>12464.264735230001</v>
      </c>
      <c r="N19" s="18">
        <f t="shared" si="7"/>
        <v>49.441568329999427</v>
      </c>
    </row>
    <row r="20" spans="2:14" x14ac:dyDescent="0.25">
      <c r="B20" s="5">
        <v>18.62</v>
      </c>
      <c r="C20" s="6">
        <f t="shared" si="1"/>
        <v>8445.8899294000003</v>
      </c>
      <c r="D20" s="5">
        <v>19.042475918811196</v>
      </c>
      <c r="E20" s="1">
        <f t="shared" si="2"/>
        <v>18.87484848994842</v>
      </c>
      <c r="F20" s="16">
        <f t="shared" si="3"/>
        <v>8561.4872599466253</v>
      </c>
      <c r="G20" s="18">
        <f t="shared" si="0"/>
        <v>115.59733054662502</v>
      </c>
      <c r="I20" s="5">
        <v>19.41</v>
      </c>
      <c r="J20" s="6">
        <f t="shared" si="4"/>
        <v>8804.2279017000001</v>
      </c>
      <c r="K20" s="5">
        <v>19.71</v>
      </c>
      <c r="L20" s="2">
        <f t="shared" si="5"/>
        <v>19.469000000000001</v>
      </c>
      <c r="M20" s="6">
        <f t="shared" si="6"/>
        <v>8830.989851530001</v>
      </c>
      <c r="N20" s="18">
        <f t="shared" si="7"/>
        <v>26.761949830000958</v>
      </c>
    </row>
    <row r="21" spans="2:14" x14ac:dyDescent="0.25">
      <c r="B21" s="5">
        <v>10.87</v>
      </c>
      <c r="C21" s="6">
        <f t="shared" si="1"/>
        <v>4930.5490619000002</v>
      </c>
      <c r="D21" s="5">
        <v>11.163986762260789</v>
      </c>
      <c r="E21" s="1">
        <f t="shared" si="2"/>
        <v>10.996359333398015</v>
      </c>
      <c r="F21" s="16">
        <f t="shared" si="3"/>
        <v>4987.8646914076262</v>
      </c>
      <c r="G21" s="18">
        <f t="shared" si="0"/>
        <v>57.315629507625999</v>
      </c>
      <c r="I21" s="5">
        <v>10.41</v>
      </c>
      <c r="J21" s="6">
        <f t="shared" si="4"/>
        <v>4721.8965717000001</v>
      </c>
      <c r="K21" s="5">
        <v>10.69</v>
      </c>
      <c r="L21" s="2">
        <f t="shared" si="5"/>
        <v>10.449</v>
      </c>
      <c r="M21" s="6">
        <f t="shared" si="6"/>
        <v>4739.5866741299997</v>
      </c>
      <c r="N21" s="18">
        <f t="shared" si="7"/>
        <v>17.69010242999957</v>
      </c>
    </row>
    <row r="22" spans="2:14" x14ac:dyDescent="0.25">
      <c r="B22" s="5">
        <v>5.05</v>
      </c>
      <c r="C22" s="6">
        <f t="shared" si="1"/>
        <v>2290.6414685</v>
      </c>
      <c r="D22" s="5">
        <v>5.2970267520636778</v>
      </c>
      <c r="E22" s="1">
        <f t="shared" si="2"/>
        <v>5.1293993232009027</v>
      </c>
      <c r="F22" s="16">
        <f t="shared" si="3"/>
        <v>2326.6563956870937</v>
      </c>
      <c r="G22" s="18">
        <f t="shared" si="0"/>
        <v>36.01492718709369</v>
      </c>
      <c r="I22" s="5">
        <v>5.45</v>
      </c>
      <c r="J22" s="6">
        <f t="shared" si="4"/>
        <v>2472.0784165</v>
      </c>
      <c r="K22" s="5">
        <v>5.71</v>
      </c>
      <c r="L22" s="2">
        <f t="shared" si="5"/>
        <v>5.4690000000000003</v>
      </c>
      <c r="M22" s="6">
        <f t="shared" si="6"/>
        <v>2480.69667153</v>
      </c>
      <c r="N22" s="18">
        <f t="shared" si="7"/>
        <v>8.6182550300000003</v>
      </c>
    </row>
    <row r="23" spans="2:14" x14ac:dyDescent="0.25">
      <c r="B23" s="5">
        <v>1.77</v>
      </c>
      <c r="C23" s="6">
        <f t="shared" si="1"/>
        <v>802.85849489999998</v>
      </c>
      <c r="D23" s="5">
        <v>2.0115291463532952</v>
      </c>
      <c r="E23" s="1">
        <f t="shared" si="2"/>
        <v>1.8439017174905206</v>
      </c>
      <c r="F23" s="16">
        <f t="shared" si="3"/>
        <v>836.3797500835957</v>
      </c>
      <c r="G23" s="18">
        <f t="shared" si="0"/>
        <v>33.521255183595713</v>
      </c>
      <c r="I23" s="5">
        <v>1.7</v>
      </c>
      <c r="J23" s="6">
        <f t="shared" si="4"/>
        <v>771.10702900000001</v>
      </c>
      <c r="K23" s="5">
        <v>1.95</v>
      </c>
      <c r="L23" s="2">
        <f t="shared" si="5"/>
        <v>1.7090000000000001</v>
      </c>
      <c r="M23" s="6">
        <f t="shared" si="6"/>
        <v>775.18936033000011</v>
      </c>
      <c r="N23" s="18">
        <f t="shared" si="7"/>
        <v>4.0823313300001018</v>
      </c>
    </row>
    <row r="24" spans="2:14" x14ac:dyDescent="0.25">
      <c r="B24" s="5">
        <v>0</v>
      </c>
      <c r="C24" s="6">
        <f t="shared" si="1"/>
        <v>0</v>
      </c>
      <c r="D24" s="5">
        <v>0.20115291463532953</v>
      </c>
      <c r="E24" s="1">
        <f t="shared" si="2"/>
        <v>3.3525485772554903E-2</v>
      </c>
      <c r="F24" s="16">
        <f>E24*453.59237</f>
        <v>15.20690454697446</v>
      </c>
      <c r="G24" s="18">
        <f t="shared" si="0"/>
        <v>15.20690454697446</v>
      </c>
      <c r="I24" s="5">
        <v>0</v>
      </c>
      <c r="J24" s="6">
        <f t="shared" si="4"/>
        <v>0</v>
      </c>
      <c r="K24" s="5">
        <v>0.245</v>
      </c>
      <c r="L24" s="2">
        <f t="shared" si="5"/>
        <v>4.0000000000000036E-3</v>
      </c>
      <c r="M24" s="6">
        <f>L24*453.59237</f>
        <v>1.8143694800000016</v>
      </c>
      <c r="N24" s="18">
        <f t="shared" si="7"/>
        <v>1.8143694800000016</v>
      </c>
    </row>
    <row r="25" spans="2:14" ht="15.75" thickBot="1" x14ac:dyDescent="0.3">
      <c r="B25" s="7">
        <v>0</v>
      </c>
      <c r="C25" s="8">
        <f t="shared" si="1"/>
        <v>0</v>
      </c>
      <c r="D25" s="7">
        <v>0.20115291463532953</v>
      </c>
      <c r="E25" s="9">
        <f t="shared" si="2"/>
        <v>3.3525485772554903E-2</v>
      </c>
      <c r="F25" s="17">
        <f t="shared" si="3"/>
        <v>15.20690454697446</v>
      </c>
      <c r="G25" s="19">
        <f t="shared" si="0"/>
        <v>15.20690454697446</v>
      </c>
      <c r="I25" s="7">
        <v>0</v>
      </c>
      <c r="J25" s="8">
        <f t="shared" si="4"/>
        <v>0</v>
      </c>
      <c r="K25" s="7">
        <v>0.24399999999999999</v>
      </c>
      <c r="L25" s="2">
        <f t="shared" si="5"/>
        <v>3.0000000000000027E-3</v>
      </c>
      <c r="M25" s="8">
        <f t="shared" si="6"/>
        <v>1.3607771100000012</v>
      </c>
      <c r="N25" s="19">
        <f t="shared" si="7"/>
        <v>1.3607771100000012</v>
      </c>
    </row>
  </sheetData>
  <mergeCells count="8">
    <mergeCell ref="B1:G1"/>
    <mergeCell ref="B2:G3"/>
    <mergeCell ref="I1:N1"/>
    <mergeCell ref="I2:N3"/>
    <mergeCell ref="B4:C4"/>
    <mergeCell ref="D4:F4"/>
    <mergeCell ref="I4:J4"/>
    <mergeCell ref="K4:M4"/>
  </mergeCells>
  <conditionalFormatting sqref="G6:G25 N6:N25">
    <cfRule type="colorScale" priority="1">
      <colorScale>
        <cfvo type="min"/>
        <cfvo type="max"/>
        <color rgb="FFFCFCFF"/>
        <color rgb="FFF8696B"/>
      </colorScale>
    </cfRule>
    <cfRule type="colorScale" priority="2">
      <colorScale>
        <cfvo type="min"/>
        <cfvo type="percentile" val="50"/>
        <cfvo type="max"/>
        <color rgb="FF63BE7B"/>
        <color rgb="FFFCFCFF"/>
        <color rgb="FFF8696B"/>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M Milliren</dc:creator>
  <cp:lastModifiedBy>Chris M Milliren</cp:lastModifiedBy>
  <dcterms:created xsi:type="dcterms:W3CDTF">2026-06-02T20:21:08Z</dcterms:created>
  <dcterms:modified xsi:type="dcterms:W3CDTF">2026-06-03T15:49:43Z</dcterms:modified>
</cp:coreProperties>
</file>