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lli079\Documents\GitHub\SAFL-Mesocosms\Calibrations\"/>
    </mc:Choice>
  </mc:AlternateContent>
  <xr:revisionPtr revIDLastSave="0" documentId="13_ncr:9_{A6651739-91A8-4EE8-A6FD-EDC0BBF71514}" xr6:coauthVersionLast="47" xr6:coauthVersionMax="47" xr10:uidLastSave="{00000000-0000-0000-0000-000000000000}"/>
  <bookViews>
    <workbookView xWindow="-24120" yWindow="660" windowWidth="24240" windowHeight="13020" xr2:uid="{2944AEF4-B12A-4F5C-B871-706C080CFA53}"/>
  </bookViews>
  <sheets>
    <sheet name="LoadCalibration_2026-08-06_1339" sheetId="1" r:id="rId1"/>
  </sheets>
  <calcPr calcId="0"/>
</workbook>
</file>

<file path=xl/calcChain.xml><?xml version="1.0" encoding="utf-8"?>
<calcChain xmlns="http://schemas.openxmlformats.org/spreadsheetml/2006/main">
  <c r="F33" i="1" l="1"/>
  <c r="G43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G34" i="1"/>
  <c r="G35" i="1"/>
  <c r="G36" i="1"/>
  <c r="G37" i="1"/>
  <c r="G38" i="1"/>
  <c r="G39" i="1"/>
  <c r="G40" i="1"/>
  <c r="G41" i="1"/>
  <c r="G42" i="1"/>
  <c r="G44" i="1"/>
  <c r="G45" i="1"/>
  <c r="G46" i="1"/>
  <c r="G47" i="1"/>
  <c r="G48" i="1"/>
  <c r="G49" i="1"/>
  <c r="G50" i="1"/>
  <c r="G51" i="1"/>
  <c r="G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33" i="1"/>
  <c r="D33" i="1" a="1"/>
  <c r="C51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33" i="1"/>
  <c r="D33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<sst xmlns="http://schemas.openxmlformats.org/spreadsheetml/2006/main" count="64" uniqueCount="41">
  <si>
    <t>Timestamp</t>
  </si>
  <si>
    <t>Bucket1</t>
  </si>
  <si>
    <t>Bucket2</t>
  </si>
  <si>
    <t>Bucket3</t>
  </si>
  <si>
    <t>Ch1</t>
  </si>
  <si>
    <t>Ch2</t>
  </si>
  <si>
    <t>Ch3</t>
  </si>
  <si>
    <t>Ch4</t>
  </si>
  <si>
    <t>Vx</t>
  </si>
  <si>
    <t>Gross Weight</t>
  </si>
  <si>
    <t>lbs</t>
  </si>
  <si>
    <t>mV</t>
  </si>
  <si>
    <t>V</t>
  </si>
  <si>
    <t>%</t>
  </si>
  <si>
    <t>Ch1 mV/V</t>
  </si>
  <si>
    <t>Ch2 mV/V</t>
  </si>
  <si>
    <t>Ch3 mV/V</t>
  </si>
  <si>
    <t>Load Cell 1:</t>
  </si>
  <si>
    <t>Interface</t>
  </si>
  <si>
    <t>SN: E34082</t>
  </si>
  <si>
    <t xml:space="preserve">Max Load: </t>
  </si>
  <si>
    <t>10Lbs</t>
  </si>
  <si>
    <t>Load Cell 2:</t>
  </si>
  <si>
    <t>SN: 169914</t>
  </si>
  <si>
    <t>Load Cell 3:</t>
  </si>
  <si>
    <t>Optima</t>
  </si>
  <si>
    <t>SN: 2210004</t>
  </si>
  <si>
    <t>50Lbs</t>
  </si>
  <si>
    <t>FS Load</t>
  </si>
  <si>
    <t>Transmitter</t>
  </si>
  <si>
    <t>Laumas TLB4</t>
  </si>
  <si>
    <t>SN: 628260040</t>
  </si>
  <si>
    <t>Modbus TCP</t>
  </si>
  <si>
    <t>Slope</t>
  </si>
  <si>
    <t xml:space="preserve">Bucket 3 </t>
  </si>
  <si>
    <t>mL equiv</t>
  </si>
  <si>
    <t>mV zeroed</t>
  </si>
  <si>
    <t>Calibration Factors from 2026-06-01:</t>
  </si>
  <si>
    <t>Offset</t>
  </si>
  <si>
    <t>Diff</t>
  </si>
  <si>
    <t xml:space="preserve">* I forced the intercept to be 0.  I think this is the right idea, but maybe I'm just skewing the accuracy close to zero?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</si>
</sst>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22" fontId="0" fillId="0" borderId="0" xfId="0" applyNumberFormat="1"/>
    <xf numFmtId="2" fontId="0" fillId="0" borderId="0" xfId="0" applyNumberFormat="1"/>
    <xf numFmtId="165" fontId="0" fillId="0" borderId="0" xfId="0" applyNumberFormat="1"/>
    <xf numFmtId="0" fontId="0" fillId="0" borderId="0" xfId="0" applyAlignment="1">
      <alignment horizontal="right"/>
    </xf>
    <xf numFmtId="0" fontId="18" fillId="0" borderId="0" xfId="0" applyFont="1"/>
    <xf numFmtId="0" fontId="18" fillId="0" borderId="0" xfId="0" applyFont="1" applyAlignment="1">
      <alignment horizontal="center"/>
    </xf>
    <xf numFmtId="10" fontId="0" fillId="0" borderId="0" xfId="1" applyNumberFormat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7D0B0-97DC-4B07-AB54-51E190A4018A}">
  <dimension ref="A1:N51"/>
  <sheetViews>
    <sheetView tabSelected="1" topLeftCell="A25" workbookViewId="0">
      <selection activeCell="F34" sqref="F34"/>
    </sheetView>
  </sheetViews>
  <sheetFormatPr defaultRowHeight="15" x14ac:dyDescent="0.25"/>
  <cols>
    <col min="1" max="1" width="13.5703125" bestFit="1" customWidth="1"/>
    <col min="3" max="3" width="9.5703125" bestFit="1" customWidth="1"/>
    <col min="5" max="5" width="11.85546875" customWidth="1"/>
  </cols>
  <sheetData>
    <row r="1" spans="1:14" x14ac:dyDescent="0.25">
      <c r="E1" t="s">
        <v>14</v>
      </c>
      <c r="F1" t="s">
        <v>15</v>
      </c>
      <c r="G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</row>
    <row r="2" spans="1:14" x14ac:dyDescent="0.25">
      <c r="E2">
        <v>3.1949999999999998</v>
      </c>
      <c r="F2">
        <v>3.3029999999999999</v>
      </c>
      <c r="G2">
        <v>2.9990000000000001</v>
      </c>
      <c r="I2" t="s">
        <v>22</v>
      </c>
      <c r="J2" t="s">
        <v>18</v>
      </c>
      <c r="K2" t="s">
        <v>23</v>
      </c>
      <c r="L2" t="s">
        <v>20</v>
      </c>
      <c r="M2" t="s">
        <v>21</v>
      </c>
    </row>
    <row r="3" spans="1:14" x14ac:dyDescent="0.25">
      <c r="D3" t="s">
        <v>8</v>
      </c>
      <c r="E3">
        <v>4.9720000000000004</v>
      </c>
      <c r="F3">
        <v>4.9720000000000004</v>
      </c>
      <c r="G3">
        <v>4.9720000000000004</v>
      </c>
      <c r="I3" t="s">
        <v>24</v>
      </c>
      <c r="J3" t="s">
        <v>25</v>
      </c>
      <c r="K3" t="s">
        <v>26</v>
      </c>
      <c r="L3" t="s">
        <v>20</v>
      </c>
      <c r="M3" t="s">
        <v>27</v>
      </c>
    </row>
    <row r="4" spans="1:14" x14ac:dyDescent="0.25">
      <c r="D4" t="s">
        <v>28</v>
      </c>
      <c r="E4">
        <v>10</v>
      </c>
      <c r="F4">
        <v>10</v>
      </c>
      <c r="G4">
        <v>50</v>
      </c>
      <c r="I4" t="s">
        <v>29</v>
      </c>
      <c r="J4" t="s">
        <v>30</v>
      </c>
      <c r="K4" t="s">
        <v>31</v>
      </c>
      <c r="L4" t="s">
        <v>32</v>
      </c>
    </row>
    <row r="5" spans="1:14" x14ac:dyDescent="0.25">
      <c r="F5" t="s">
        <v>33</v>
      </c>
      <c r="G5" t="s">
        <v>38</v>
      </c>
    </row>
    <row r="6" spans="1:14" x14ac:dyDescent="0.25">
      <c r="E6" s="4" t="s">
        <v>37</v>
      </c>
      <c r="F6">
        <v>1506.3586029839364</v>
      </c>
      <c r="G6">
        <v>0</v>
      </c>
      <c r="H6" t="s">
        <v>40</v>
      </c>
    </row>
    <row r="9" spans="1:14" x14ac:dyDescent="0.25">
      <c r="A9" t="s">
        <v>0</v>
      </c>
      <c r="B9" t="s">
        <v>1</v>
      </c>
      <c r="C9" t="s">
        <v>2</v>
      </c>
      <c r="D9" t="s">
        <v>3</v>
      </c>
      <c r="E9" t="s">
        <v>4</v>
      </c>
      <c r="F9" t="s">
        <v>5</v>
      </c>
      <c r="G9" t="s">
        <v>6</v>
      </c>
      <c r="H9" t="s">
        <v>7</v>
      </c>
      <c r="I9" t="s">
        <v>8</v>
      </c>
      <c r="J9" t="s">
        <v>4</v>
      </c>
      <c r="K9" t="s">
        <v>5</v>
      </c>
      <c r="L9" t="s">
        <v>6</v>
      </c>
      <c r="M9" t="s">
        <v>7</v>
      </c>
      <c r="N9" t="s">
        <v>9</v>
      </c>
    </row>
    <row r="10" spans="1:14" x14ac:dyDescent="0.25">
      <c r="B10" t="s">
        <v>10</v>
      </c>
      <c r="C10" t="s">
        <v>10</v>
      </c>
      <c r="D10" t="s">
        <v>10</v>
      </c>
      <c r="E10" t="s">
        <v>11</v>
      </c>
      <c r="F10" t="s">
        <v>11</v>
      </c>
      <c r="G10" t="s">
        <v>11</v>
      </c>
      <c r="H10" t="s">
        <v>11</v>
      </c>
      <c r="I10" t="s">
        <v>12</v>
      </c>
      <c r="J10" t="s">
        <v>13</v>
      </c>
      <c r="K10" t="s">
        <v>13</v>
      </c>
      <c r="L10" t="s">
        <v>13</v>
      </c>
      <c r="M10" t="s">
        <v>13</v>
      </c>
      <c r="N10" t="s">
        <v>10</v>
      </c>
    </row>
    <row r="11" spans="1:14" x14ac:dyDescent="0.25">
      <c r="A11" s="1">
        <v>46240.568749999999</v>
      </c>
      <c r="B11">
        <v>0</v>
      </c>
      <c r="C11">
        <v>0</v>
      </c>
      <c r="D11">
        <v>0</v>
      </c>
      <c r="E11">
        <v>0.4</v>
      </c>
      <c r="F11">
        <v>-0.81</v>
      </c>
      <c r="G11">
        <v>0.06</v>
      </c>
      <c r="H11">
        <v>0</v>
      </c>
      <c r="I11">
        <v>4.9720000000000004</v>
      </c>
      <c r="J11">
        <v>31.6</v>
      </c>
      <c r="K11">
        <v>6490.5</v>
      </c>
      <c r="L11">
        <v>5.0999999999999996</v>
      </c>
      <c r="M11">
        <v>0</v>
      </c>
      <c r="N11">
        <v>-0.52700000000000002</v>
      </c>
    </row>
    <row r="12" spans="1:14" x14ac:dyDescent="0.25">
      <c r="A12" s="1">
        <v>46240.570833333331</v>
      </c>
      <c r="B12">
        <v>8.9600000000000009</v>
      </c>
      <c r="C12">
        <v>5.98</v>
      </c>
      <c r="D12">
        <v>0</v>
      </c>
      <c r="E12">
        <v>14.69</v>
      </c>
      <c r="F12">
        <v>9.0299999999999994</v>
      </c>
      <c r="G12">
        <v>0.06</v>
      </c>
      <c r="H12">
        <v>0</v>
      </c>
      <c r="I12">
        <v>4.9720000000000004</v>
      </c>
      <c r="J12">
        <v>61.7</v>
      </c>
      <c r="K12">
        <v>37.9</v>
      </c>
      <c r="L12">
        <v>0.2</v>
      </c>
      <c r="M12">
        <v>0</v>
      </c>
      <c r="N12">
        <v>37.072000000000003</v>
      </c>
    </row>
    <row r="13" spans="1:14" x14ac:dyDescent="0.25">
      <c r="A13" s="1">
        <v>46240.571527777778</v>
      </c>
      <c r="B13">
        <v>8.9600000000000009</v>
      </c>
      <c r="C13">
        <v>5.98</v>
      </c>
      <c r="D13">
        <v>1.8</v>
      </c>
      <c r="E13">
        <v>14.69</v>
      </c>
      <c r="F13">
        <v>9.0399999999999991</v>
      </c>
      <c r="G13">
        <v>0.6</v>
      </c>
      <c r="H13">
        <v>0</v>
      </c>
      <c r="I13">
        <v>4.9720000000000004</v>
      </c>
      <c r="J13">
        <v>60.3</v>
      </c>
      <c r="K13">
        <v>37.1</v>
      </c>
      <c r="L13">
        <v>2.4</v>
      </c>
      <c r="M13">
        <v>0</v>
      </c>
      <c r="N13">
        <v>37.911000000000001</v>
      </c>
    </row>
    <row r="14" spans="1:14" x14ac:dyDescent="0.25">
      <c r="A14" s="1">
        <v>46240.572222222225</v>
      </c>
      <c r="B14">
        <v>8.9600000000000009</v>
      </c>
      <c r="C14">
        <v>5.98</v>
      </c>
      <c r="D14">
        <v>5.76</v>
      </c>
      <c r="E14">
        <v>14.72</v>
      </c>
      <c r="F14">
        <v>9.06</v>
      </c>
      <c r="G14">
        <v>1.8</v>
      </c>
      <c r="H14">
        <v>0</v>
      </c>
      <c r="I14">
        <v>4.9720000000000004</v>
      </c>
      <c r="J14">
        <v>57.5</v>
      </c>
      <c r="K14">
        <v>35.299999999999997</v>
      </c>
      <c r="L14">
        <v>7</v>
      </c>
      <c r="M14">
        <v>0</v>
      </c>
      <c r="N14">
        <v>39.78</v>
      </c>
    </row>
    <row r="15" spans="1:14" x14ac:dyDescent="0.25">
      <c r="A15" s="1">
        <v>46240.572916666664</v>
      </c>
      <c r="B15">
        <v>8.9600000000000009</v>
      </c>
      <c r="C15">
        <v>5.98</v>
      </c>
      <c r="D15">
        <v>10.78</v>
      </c>
      <c r="E15">
        <v>14.76</v>
      </c>
      <c r="F15">
        <v>9.0399999999999991</v>
      </c>
      <c r="G15">
        <v>3.3</v>
      </c>
      <c r="H15">
        <v>0</v>
      </c>
      <c r="I15">
        <v>4.9720000000000004</v>
      </c>
      <c r="J15">
        <v>54.3</v>
      </c>
      <c r="K15">
        <v>33.4</v>
      </c>
      <c r="L15">
        <v>12.2</v>
      </c>
      <c r="M15">
        <v>0</v>
      </c>
      <c r="N15">
        <v>42.128999999999998</v>
      </c>
    </row>
    <row r="16" spans="1:14" x14ac:dyDescent="0.25">
      <c r="A16" s="1">
        <v>46240.574305555558</v>
      </c>
      <c r="B16">
        <v>8.9600000000000009</v>
      </c>
      <c r="C16">
        <v>5.98</v>
      </c>
      <c r="D16">
        <v>16.84</v>
      </c>
      <c r="E16">
        <v>14.68</v>
      </c>
      <c r="F16">
        <v>9.06</v>
      </c>
      <c r="G16">
        <v>5.13</v>
      </c>
      <c r="H16">
        <v>0</v>
      </c>
      <c r="I16">
        <v>4.9720000000000004</v>
      </c>
      <c r="J16">
        <v>50.9</v>
      </c>
      <c r="K16">
        <v>31.3</v>
      </c>
      <c r="L16">
        <v>17.7</v>
      </c>
      <c r="M16">
        <v>0</v>
      </c>
      <c r="N16">
        <v>44.975999999999999</v>
      </c>
    </row>
    <row r="17" spans="1:14" x14ac:dyDescent="0.25">
      <c r="A17" s="1">
        <v>46240.575694444444</v>
      </c>
      <c r="B17">
        <v>8.9600000000000009</v>
      </c>
      <c r="C17">
        <v>5.98</v>
      </c>
      <c r="D17">
        <v>23.66</v>
      </c>
      <c r="E17">
        <v>14.74</v>
      </c>
      <c r="F17">
        <v>9.0299999999999994</v>
      </c>
      <c r="G17">
        <v>7.18</v>
      </c>
      <c r="H17">
        <v>0</v>
      </c>
      <c r="I17">
        <v>4.9720000000000004</v>
      </c>
      <c r="J17">
        <v>47.5</v>
      </c>
      <c r="K17">
        <v>29.2</v>
      </c>
      <c r="L17">
        <v>23.2</v>
      </c>
      <c r="M17">
        <v>0</v>
      </c>
      <c r="N17">
        <v>48.158000000000001</v>
      </c>
    </row>
    <row r="18" spans="1:14" x14ac:dyDescent="0.25">
      <c r="A18" s="1">
        <v>46240.576388888891</v>
      </c>
      <c r="B18">
        <v>8.9600000000000009</v>
      </c>
      <c r="C18">
        <v>5.98</v>
      </c>
      <c r="D18">
        <v>36.89</v>
      </c>
      <c r="E18">
        <v>14.7</v>
      </c>
      <c r="F18">
        <v>9.0399999999999991</v>
      </c>
      <c r="G18">
        <v>11.16</v>
      </c>
      <c r="H18">
        <v>0</v>
      </c>
      <c r="I18">
        <v>4.9720000000000004</v>
      </c>
      <c r="J18">
        <v>42.1</v>
      </c>
      <c r="K18">
        <v>25.9</v>
      </c>
      <c r="L18">
        <v>31.9</v>
      </c>
      <c r="M18">
        <v>0</v>
      </c>
      <c r="N18">
        <v>54.36</v>
      </c>
    </row>
    <row r="19" spans="1:14" x14ac:dyDescent="0.25">
      <c r="A19" s="1">
        <v>46240.577777777777</v>
      </c>
      <c r="B19">
        <v>8.9600000000000009</v>
      </c>
      <c r="C19">
        <v>5.98</v>
      </c>
      <c r="D19">
        <v>43.85</v>
      </c>
      <c r="E19">
        <v>14.72</v>
      </c>
      <c r="F19">
        <v>9.08</v>
      </c>
      <c r="G19">
        <v>13.25</v>
      </c>
      <c r="H19">
        <v>0</v>
      </c>
      <c r="I19">
        <v>4.9720000000000004</v>
      </c>
      <c r="J19">
        <v>39.700000000000003</v>
      </c>
      <c r="K19">
        <v>24.4</v>
      </c>
      <c r="L19">
        <v>35.799999999999997</v>
      </c>
      <c r="M19">
        <v>0</v>
      </c>
      <c r="N19">
        <v>57.616999999999997</v>
      </c>
    </row>
    <row r="20" spans="1:14" x14ac:dyDescent="0.25">
      <c r="A20" s="1">
        <v>46240.579861111109</v>
      </c>
      <c r="B20">
        <v>8.9600000000000009</v>
      </c>
      <c r="C20">
        <v>5.98</v>
      </c>
      <c r="D20">
        <v>48.11</v>
      </c>
      <c r="E20">
        <v>14.73</v>
      </c>
      <c r="F20">
        <v>9.0399999999999991</v>
      </c>
      <c r="G20">
        <v>14.54</v>
      </c>
      <c r="H20">
        <v>0</v>
      </c>
      <c r="I20">
        <v>4.9720000000000004</v>
      </c>
      <c r="J20">
        <v>38.4</v>
      </c>
      <c r="K20">
        <v>23.6</v>
      </c>
      <c r="L20">
        <v>37.9</v>
      </c>
      <c r="M20">
        <v>0</v>
      </c>
      <c r="N20">
        <v>59.64</v>
      </c>
    </row>
    <row r="21" spans="1:14" x14ac:dyDescent="0.25">
      <c r="A21" s="1">
        <v>46240.582638888889</v>
      </c>
      <c r="B21">
        <v>8.9600000000000009</v>
      </c>
      <c r="C21">
        <v>5.98</v>
      </c>
      <c r="D21">
        <v>40.81</v>
      </c>
      <c r="E21">
        <v>14.71</v>
      </c>
      <c r="F21">
        <v>9.0500000000000007</v>
      </c>
      <c r="G21">
        <v>12.33</v>
      </c>
      <c r="H21">
        <v>0</v>
      </c>
      <c r="I21">
        <v>4.9720000000000004</v>
      </c>
      <c r="J21">
        <v>40.700000000000003</v>
      </c>
      <c r="K21">
        <v>25</v>
      </c>
      <c r="L21">
        <v>34.1</v>
      </c>
      <c r="M21">
        <v>0</v>
      </c>
      <c r="N21">
        <v>56.192999999999998</v>
      </c>
    </row>
    <row r="22" spans="1:14" x14ac:dyDescent="0.25">
      <c r="A22" s="1">
        <v>46240.583333333336</v>
      </c>
      <c r="B22">
        <v>8.9600000000000009</v>
      </c>
      <c r="C22">
        <v>5.98</v>
      </c>
      <c r="D22">
        <v>31.86</v>
      </c>
      <c r="E22">
        <v>14.73</v>
      </c>
      <c r="F22">
        <v>9.0299999999999994</v>
      </c>
      <c r="G22">
        <v>9.65</v>
      </c>
      <c r="H22">
        <v>0</v>
      </c>
      <c r="I22">
        <v>4.9720000000000004</v>
      </c>
      <c r="J22">
        <v>44</v>
      </c>
      <c r="K22">
        <v>27</v>
      </c>
      <c r="L22">
        <v>28.8</v>
      </c>
      <c r="M22">
        <v>0</v>
      </c>
      <c r="N22">
        <v>52.008000000000003</v>
      </c>
    </row>
    <row r="23" spans="1:14" x14ac:dyDescent="0.25">
      <c r="A23" s="1">
        <v>46240.584027777775</v>
      </c>
      <c r="B23">
        <v>8.9600000000000009</v>
      </c>
      <c r="C23">
        <v>5.98</v>
      </c>
      <c r="D23">
        <v>20.079999999999998</v>
      </c>
      <c r="E23">
        <v>14.68</v>
      </c>
      <c r="F23">
        <v>9.0500000000000007</v>
      </c>
      <c r="G23">
        <v>6.1</v>
      </c>
      <c r="H23">
        <v>0</v>
      </c>
      <c r="I23">
        <v>4.9720000000000004</v>
      </c>
      <c r="J23">
        <v>49.2</v>
      </c>
      <c r="K23">
        <v>30.2</v>
      </c>
      <c r="L23">
        <v>20.399999999999999</v>
      </c>
      <c r="M23">
        <v>0</v>
      </c>
      <c r="N23">
        <v>46.497999999999998</v>
      </c>
    </row>
    <row r="24" spans="1:14" x14ac:dyDescent="0.25">
      <c r="A24" s="1">
        <v>46240.584722222222</v>
      </c>
      <c r="B24">
        <v>8.9600000000000009</v>
      </c>
      <c r="C24">
        <v>5.98</v>
      </c>
      <c r="D24">
        <v>13.26</v>
      </c>
      <c r="E24">
        <v>14.74</v>
      </c>
      <c r="F24">
        <v>9.0299999999999994</v>
      </c>
      <c r="G24">
        <v>4.05</v>
      </c>
      <c r="H24">
        <v>0</v>
      </c>
      <c r="I24">
        <v>4.9720000000000004</v>
      </c>
      <c r="J24">
        <v>52.9</v>
      </c>
      <c r="K24">
        <v>32.5</v>
      </c>
      <c r="L24">
        <v>14.5</v>
      </c>
      <c r="M24">
        <v>0</v>
      </c>
      <c r="N24">
        <v>43.311</v>
      </c>
    </row>
    <row r="25" spans="1:14" x14ac:dyDescent="0.25">
      <c r="A25" s="1">
        <v>46240.585416666669</v>
      </c>
      <c r="B25">
        <v>8.9600000000000009</v>
      </c>
      <c r="C25">
        <v>5.98</v>
      </c>
      <c r="D25">
        <v>8.3000000000000007</v>
      </c>
      <c r="E25">
        <v>14.78</v>
      </c>
      <c r="F25">
        <v>9.0500000000000007</v>
      </c>
      <c r="G25">
        <v>2.57</v>
      </c>
      <c r="H25">
        <v>0</v>
      </c>
      <c r="I25">
        <v>4.9720000000000004</v>
      </c>
      <c r="J25">
        <v>55.8</v>
      </c>
      <c r="K25">
        <v>34.299999999999997</v>
      </c>
      <c r="L25">
        <v>9.6999999999999993</v>
      </c>
      <c r="M25">
        <v>0</v>
      </c>
      <c r="N25">
        <v>40.981000000000002</v>
      </c>
    </row>
    <row r="26" spans="1:14" x14ac:dyDescent="0.25">
      <c r="A26" s="1">
        <v>46240.586111111108</v>
      </c>
      <c r="B26">
        <v>8.9600000000000009</v>
      </c>
      <c r="C26">
        <v>5.98</v>
      </c>
      <c r="D26">
        <v>5.0599999999999996</v>
      </c>
      <c r="E26">
        <v>14.72</v>
      </c>
      <c r="F26">
        <v>9.06</v>
      </c>
      <c r="G26">
        <v>1.58</v>
      </c>
      <c r="H26">
        <v>0</v>
      </c>
      <c r="I26">
        <v>4.9720000000000004</v>
      </c>
      <c r="J26">
        <v>58</v>
      </c>
      <c r="K26">
        <v>35.6</v>
      </c>
      <c r="L26">
        <v>6.2</v>
      </c>
      <c r="M26">
        <v>0</v>
      </c>
      <c r="N26">
        <v>39.460999999999999</v>
      </c>
    </row>
    <row r="27" spans="1:14" x14ac:dyDescent="0.25">
      <c r="A27" s="1">
        <v>46240.586805555555</v>
      </c>
      <c r="B27">
        <v>8.9600000000000009</v>
      </c>
      <c r="C27">
        <v>5.98</v>
      </c>
      <c r="D27">
        <v>1.8</v>
      </c>
      <c r="E27">
        <v>14.7</v>
      </c>
      <c r="F27">
        <v>9.07</v>
      </c>
      <c r="G27">
        <v>0.6</v>
      </c>
      <c r="H27">
        <v>0</v>
      </c>
      <c r="I27">
        <v>4.9720000000000004</v>
      </c>
      <c r="J27">
        <v>60.3</v>
      </c>
      <c r="K27">
        <v>37.1</v>
      </c>
      <c r="L27">
        <v>2.4</v>
      </c>
      <c r="M27">
        <v>0</v>
      </c>
      <c r="N27">
        <v>37.932000000000002</v>
      </c>
    </row>
    <row r="28" spans="1:14" x14ac:dyDescent="0.25">
      <c r="A28" s="1">
        <v>46240.587500000001</v>
      </c>
      <c r="B28">
        <v>8.9600000000000009</v>
      </c>
      <c r="C28">
        <v>5.98</v>
      </c>
      <c r="D28">
        <v>0</v>
      </c>
      <c r="E28">
        <v>14.74</v>
      </c>
      <c r="F28">
        <v>9.06</v>
      </c>
      <c r="G28">
        <v>0.06</v>
      </c>
      <c r="H28">
        <v>0</v>
      </c>
      <c r="I28">
        <v>4.9720000000000004</v>
      </c>
      <c r="J28">
        <v>61.7</v>
      </c>
      <c r="K28">
        <v>37.9</v>
      </c>
      <c r="L28">
        <v>0.2</v>
      </c>
      <c r="M28">
        <v>0</v>
      </c>
      <c r="N28">
        <v>37.097000000000001</v>
      </c>
    </row>
    <row r="29" spans="1:14" x14ac:dyDescent="0.25">
      <c r="A29" s="1">
        <v>46240.588194444441</v>
      </c>
      <c r="B29">
        <v>0</v>
      </c>
      <c r="C29">
        <v>0</v>
      </c>
      <c r="D29">
        <v>0</v>
      </c>
      <c r="E29">
        <v>0.41</v>
      </c>
      <c r="F29">
        <v>-0.8</v>
      </c>
      <c r="G29">
        <v>0.06</v>
      </c>
      <c r="H29">
        <v>0</v>
      </c>
      <c r="I29">
        <v>4.9720000000000004</v>
      </c>
      <c r="J29">
        <v>32.5</v>
      </c>
      <c r="K29">
        <v>6491.4</v>
      </c>
      <c r="L29">
        <v>5.0999999999999996</v>
      </c>
      <c r="M29">
        <v>0</v>
      </c>
      <c r="N29">
        <v>-0.49199999999999999</v>
      </c>
    </row>
    <row r="31" spans="1:14" x14ac:dyDescent="0.25">
      <c r="C31" s="5" t="s">
        <v>34</v>
      </c>
      <c r="D31" s="6" t="s">
        <v>6</v>
      </c>
      <c r="E31" s="6"/>
      <c r="F31" s="6"/>
      <c r="G31" s="5" t="s">
        <v>39</v>
      </c>
    </row>
    <row r="32" spans="1:14" x14ac:dyDescent="0.25">
      <c r="C32" s="5" t="s">
        <v>35</v>
      </c>
      <c r="D32" s="5" t="s">
        <v>11</v>
      </c>
      <c r="E32" s="5" t="s">
        <v>36</v>
      </c>
      <c r="F32" s="5" t="s">
        <v>35</v>
      </c>
      <c r="G32" s="5" t="s">
        <v>35</v>
      </c>
      <c r="H32" s="5" t="s">
        <v>13</v>
      </c>
    </row>
    <row r="33" spans="3:8" x14ac:dyDescent="0.25">
      <c r="C33" s="3">
        <f>D11*453.59237</f>
        <v>0</v>
      </c>
      <c r="D33" s="2" cm="1">
        <f t="array" ref="D33:D51">G11:G29</f>
        <v>0.06</v>
      </c>
      <c r="E33" s="2">
        <f>D33-$D$33</f>
        <v>0</v>
      </c>
      <c r="F33">
        <f>E33*$F$6+$G$6</f>
        <v>0</v>
      </c>
      <c r="G33" s="3">
        <f>F33-C33</f>
        <v>0</v>
      </c>
      <c r="H33" s="7">
        <f>IF(G33=0,0,G33/C33)</f>
        <v>0</v>
      </c>
    </row>
    <row r="34" spans="3:8" x14ac:dyDescent="0.25">
      <c r="C34" s="3">
        <f t="shared" ref="C34:C58" si="0">D12*453.59237</f>
        <v>0</v>
      </c>
      <c r="D34" s="2">
        <v>0.06</v>
      </c>
      <c r="E34" s="2">
        <f t="shared" ref="E34:E51" si="1">D34-$D$33</f>
        <v>0</v>
      </c>
      <c r="F34">
        <f t="shared" ref="F34:F51" si="2">E34*$F$6+$G$6</f>
        <v>0</v>
      </c>
      <c r="G34" s="3">
        <f t="shared" ref="G34:G51" si="3">F34-C34</f>
        <v>0</v>
      </c>
      <c r="H34" s="7">
        <f t="shared" ref="H34:H51" si="4">IF(G34=0,0,G34/C34)</f>
        <v>0</v>
      </c>
    </row>
    <row r="35" spans="3:8" x14ac:dyDescent="0.25">
      <c r="C35" s="3">
        <f t="shared" si="0"/>
        <v>816.46626600000002</v>
      </c>
      <c r="D35" s="2">
        <v>0.6</v>
      </c>
      <c r="E35" s="2">
        <f t="shared" si="1"/>
        <v>0.54</v>
      </c>
      <c r="F35">
        <f t="shared" si="2"/>
        <v>813.43364561132569</v>
      </c>
      <c r="G35" s="3">
        <f t="shared" si="3"/>
        <v>-3.0326203886743315</v>
      </c>
      <c r="H35" s="7">
        <f t="shared" si="4"/>
        <v>-3.7143241735284765E-3</v>
      </c>
    </row>
    <row r="36" spans="3:8" x14ac:dyDescent="0.25">
      <c r="C36" s="3">
        <f t="shared" si="0"/>
        <v>2612.6920512000002</v>
      </c>
      <c r="D36" s="2">
        <v>1.8</v>
      </c>
      <c r="E36" s="2">
        <f t="shared" si="1"/>
        <v>1.74</v>
      </c>
      <c r="F36">
        <f t="shared" si="2"/>
        <v>2621.0639691920492</v>
      </c>
      <c r="G36" s="3">
        <f t="shared" si="3"/>
        <v>8.3719179920490205</v>
      </c>
      <c r="H36" s="7">
        <f t="shared" si="4"/>
        <v>3.2043263530441056E-3</v>
      </c>
    </row>
    <row r="37" spans="3:8" x14ac:dyDescent="0.25">
      <c r="C37" s="3">
        <f t="shared" si="0"/>
        <v>4889.7257485999999</v>
      </c>
      <c r="D37" s="2">
        <v>3.3</v>
      </c>
      <c r="E37" s="2">
        <f t="shared" si="1"/>
        <v>3.2399999999999998</v>
      </c>
      <c r="F37">
        <f t="shared" si="2"/>
        <v>4880.6018736679534</v>
      </c>
      <c r="G37" s="3">
        <f t="shared" si="3"/>
        <v>-9.1238749320464194</v>
      </c>
      <c r="H37" s="7">
        <f t="shared" si="4"/>
        <v>-1.865927743423794E-3</v>
      </c>
    </row>
    <row r="38" spans="3:8" x14ac:dyDescent="0.25">
      <c r="C38" s="3">
        <f t="shared" si="0"/>
        <v>7638.4955108000004</v>
      </c>
      <c r="D38" s="2">
        <v>5.13</v>
      </c>
      <c r="E38" s="2">
        <f t="shared" si="1"/>
        <v>5.07</v>
      </c>
      <c r="F38">
        <f t="shared" si="2"/>
        <v>7637.2381171285579</v>
      </c>
      <c r="G38" s="3">
        <f t="shared" si="3"/>
        <v>-1.2573936714425145</v>
      </c>
      <c r="H38" s="7">
        <f t="shared" si="4"/>
        <v>-1.646127394674379E-4</v>
      </c>
    </row>
    <row r="39" spans="3:8" x14ac:dyDescent="0.25">
      <c r="C39" s="3">
        <f t="shared" si="0"/>
        <v>10731.995474200001</v>
      </c>
      <c r="D39" s="2">
        <v>7.18</v>
      </c>
      <c r="E39" s="2">
        <f t="shared" si="1"/>
        <v>7.12</v>
      </c>
      <c r="F39">
        <f t="shared" si="2"/>
        <v>10725.273253245627</v>
      </c>
      <c r="G39" s="3">
        <f t="shared" si="3"/>
        <v>-6.7222209543742792</v>
      </c>
      <c r="H39" s="7">
        <f t="shared" si="4"/>
        <v>-6.2637195203209641E-4</v>
      </c>
    </row>
    <row r="40" spans="3:8" x14ac:dyDescent="0.25">
      <c r="C40" s="3">
        <f t="shared" si="0"/>
        <v>16733.0225293</v>
      </c>
      <c r="D40" s="2">
        <v>11.16</v>
      </c>
      <c r="E40" s="2">
        <f t="shared" si="1"/>
        <v>11.1</v>
      </c>
      <c r="F40">
        <f t="shared" si="2"/>
        <v>16720.580493121695</v>
      </c>
      <c r="G40" s="3">
        <f t="shared" si="3"/>
        <v>-12.442036178304988</v>
      </c>
      <c r="H40" s="7">
        <f t="shared" si="4"/>
        <v>-7.4356178965985541E-4</v>
      </c>
    </row>
    <row r="41" spans="3:8" x14ac:dyDescent="0.25">
      <c r="C41" s="3">
        <f t="shared" si="0"/>
        <v>19890.0254245</v>
      </c>
      <c r="D41" s="2">
        <v>13.25</v>
      </c>
      <c r="E41" s="2">
        <f t="shared" si="1"/>
        <v>13.19</v>
      </c>
      <c r="F41">
        <f t="shared" si="2"/>
        <v>19868.86997335812</v>
      </c>
      <c r="G41" s="3">
        <f t="shared" si="3"/>
        <v>-21.155451141879894</v>
      </c>
      <c r="H41" s="7">
        <f t="shared" si="4"/>
        <v>-1.0636211211586073E-3</v>
      </c>
    </row>
    <row r="42" spans="3:8" x14ac:dyDescent="0.25">
      <c r="C42" s="3">
        <f t="shared" si="0"/>
        <v>21822.328920700002</v>
      </c>
      <c r="D42" s="2">
        <v>14.54</v>
      </c>
      <c r="E42" s="2">
        <f t="shared" si="1"/>
        <v>14.479999999999999</v>
      </c>
      <c r="F42">
        <f t="shared" si="2"/>
        <v>21812.072571207398</v>
      </c>
      <c r="G42" s="3">
        <f t="shared" si="3"/>
        <v>-10.256349492603476</v>
      </c>
      <c r="H42" s="7">
        <f t="shared" si="4"/>
        <v>-4.6999335084142247E-4</v>
      </c>
    </row>
    <row r="43" spans="3:8" x14ac:dyDescent="0.25">
      <c r="C43" s="3">
        <f t="shared" si="0"/>
        <v>18511.104619700003</v>
      </c>
      <c r="D43" s="2">
        <v>12.33</v>
      </c>
      <c r="E43" s="2">
        <f t="shared" si="1"/>
        <v>12.27</v>
      </c>
      <c r="F43">
        <f t="shared" si="2"/>
        <v>18483.020058612899</v>
      </c>
      <c r="G43" s="3">
        <f>F43-C43</f>
        <v>-28.084561087103793</v>
      </c>
      <c r="H43" s="7">
        <f t="shared" si="4"/>
        <v>-1.5171737000079114E-3</v>
      </c>
    </row>
    <row r="44" spans="3:8" x14ac:dyDescent="0.25">
      <c r="C44" s="3">
        <f t="shared" si="0"/>
        <v>14451.452908200001</v>
      </c>
      <c r="D44" s="2">
        <v>9.65</v>
      </c>
      <c r="E44" s="2">
        <f t="shared" si="1"/>
        <v>9.59</v>
      </c>
      <c r="F44">
        <f t="shared" si="2"/>
        <v>14445.97900261595</v>
      </c>
      <c r="G44" s="3">
        <f t="shared" si="3"/>
        <v>-5.4739055840509536</v>
      </c>
      <c r="H44" s="7">
        <f t="shared" si="4"/>
        <v>-3.7877891024680059E-4</v>
      </c>
    </row>
    <row r="45" spans="3:8" x14ac:dyDescent="0.25">
      <c r="C45" s="3">
        <f t="shared" si="0"/>
        <v>9108.1347895999988</v>
      </c>
      <c r="D45" s="2">
        <v>6.1</v>
      </c>
      <c r="E45" s="2">
        <f t="shared" si="1"/>
        <v>6.04</v>
      </c>
      <c r="F45">
        <f t="shared" si="2"/>
        <v>9098.4059620229764</v>
      </c>
      <c r="G45" s="3">
        <f t="shared" si="3"/>
        <v>-9.7288275770224573</v>
      </c>
      <c r="H45" s="7">
        <f t="shared" si="4"/>
        <v>-1.0681470796996976E-3</v>
      </c>
    </row>
    <row r="46" spans="3:8" x14ac:dyDescent="0.25">
      <c r="C46" s="3">
        <f t="shared" si="0"/>
        <v>6014.6348262000001</v>
      </c>
      <c r="D46" s="2">
        <v>4.05</v>
      </c>
      <c r="E46" s="2">
        <f t="shared" si="1"/>
        <v>3.9899999999999998</v>
      </c>
      <c r="F46">
        <f t="shared" si="2"/>
        <v>6010.3708259059058</v>
      </c>
      <c r="G46" s="3">
        <f t="shared" si="3"/>
        <v>-4.2640002940943305</v>
      </c>
      <c r="H46" s="7">
        <f t="shared" si="4"/>
        <v>-7.0893751945174917E-4</v>
      </c>
    </row>
    <row r="47" spans="3:8" x14ac:dyDescent="0.25">
      <c r="C47" s="3">
        <f t="shared" si="0"/>
        <v>3764.8166710000005</v>
      </c>
      <c r="D47" s="2">
        <v>2.57</v>
      </c>
      <c r="E47" s="2">
        <f t="shared" si="1"/>
        <v>2.5099999999999998</v>
      </c>
      <c r="F47">
        <f t="shared" si="2"/>
        <v>3780.9600934896803</v>
      </c>
      <c r="G47" s="3">
        <f t="shared" si="3"/>
        <v>16.143422489679779</v>
      </c>
      <c r="H47" s="7">
        <f t="shared" si="4"/>
        <v>4.2879704114229299E-3</v>
      </c>
    </row>
    <row r="48" spans="3:8" x14ac:dyDescent="0.25">
      <c r="C48" s="3">
        <f t="shared" si="0"/>
        <v>2295.1773921999998</v>
      </c>
      <c r="D48" s="2">
        <v>1.58</v>
      </c>
      <c r="E48" s="2">
        <f t="shared" si="1"/>
        <v>1.52</v>
      </c>
      <c r="F48">
        <f t="shared" si="2"/>
        <v>2289.6650765355835</v>
      </c>
      <c r="G48" s="3">
        <f t="shared" si="3"/>
        <v>-5.5123156644162918</v>
      </c>
      <c r="H48" s="7">
        <f t="shared" si="4"/>
        <v>-2.4016948246133444E-3</v>
      </c>
    </row>
    <row r="49" spans="3:8" x14ac:dyDescent="0.25">
      <c r="C49" s="3">
        <f t="shared" si="0"/>
        <v>816.46626600000002</v>
      </c>
      <c r="D49" s="2">
        <v>0.6</v>
      </c>
      <c r="E49" s="2">
        <f t="shared" si="1"/>
        <v>0.54</v>
      </c>
      <c r="F49">
        <f t="shared" si="2"/>
        <v>813.43364561132569</v>
      </c>
      <c r="G49" s="3">
        <f t="shared" si="3"/>
        <v>-3.0326203886743315</v>
      </c>
      <c r="H49" s="7">
        <f t="shared" si="4"/>
        <v>-3.7143241735284765E-3</v>
      </c>
    </row>
    <row r="50" spans="3:8" x14ac:dyDescent="0.25">
      <c r="C50" s="3">
        <f t="shared" si="0"/>
        <v>0</v>
      </c>
      <c r="D50" s="2">
        <v>0.06</v>
      </c>
      <c r="E50" s="2">
        <f t="shared" si="1"/>
        <v>0</v>
      </c>
      <c r="F50">
        <f t="shared" si="2"/>
        <v>0</v>
      </c>
      <c r="G50" s="3">
        <f t="shared" si="3"/>
        <v>0</v>
      </c>
      <c r="H50" s="7">
        <f t="shared" si="4"/>
        <v>0</v>
      </c>
    </row>
    <row r="51" spans="3:8" x14ac:dyDescent="0.25">
      <c r="C51" s="3">
        <f t="shared" si="0"/>
        <v>0</v>
      </c>
      <c r="D51" s="2">
        <v>0.06</v>
      </c>
      <c r="E51" s="2">
        <f t="shared" si="1"/>
        <v>0</v>
      </c>
      <c r="F51">
        <f t="shared" si="2"/>
        <v>0</v>
      </c>
      <c r="G51" s="3">
        <f t="shared" si="3"/>
        <v>0</v>
      </c>
      <c r="H51" s="7">
        <f t="shared" si="4"/>
        <v>0</v>
      </c>
    </row>
  </sheetData>
  <mergeCells count="1">
    <mergeCell ref="D31:F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LoadCalibration_2026-08-06_1339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M Milliren</dc:creator>
  <cp:lastModifiedBy>Chris M Milliren</cp:lastModifiedBy>
  <dcterms:created xsi:type="dcterms:W3CDTF">2026-06-08T20:31:27Z</dcterms:created>
  <dcterms:modified xsi:type="dcterms:W3CDTF">2026-06-08T21:32:02Z</dcterms:modified>
</cp:coreProperties>
</file>