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li079\Documents\GitHub\SAFL-Mesocosms\"/>
    </mc:Choice>
  </mc:AlternateContent>
  <xr:revisionPtr revIDLastSave="0" documentId="13_ncr:9_{8D3A80B7-B35C-4593-81C5-0CD82E856D99}" xr6:coauthVersionLast="47" xr6:coauthVersionMax="47" xr10:uidLastSave="{00000000-0000-0000-0000-000000000000}"/>
  <bookViews>
    <workbookView xWindow="-120" yWindow="-120" windowWidth="29040" windowHeight="17520" xr2:uid="{6B76B449-DC2C-403F-9946-E1A5686635DA}"/>
  </bookViews>
  <sheets>
    <sheet name="LoadCalibration_2026-29-05_1442" sheetId="1" r:id="rId1"/>
  </sheets>
  <calcPr calcId="0"/>
</workbook>
</file>

<file path=xl/calcChain.xml><?xml version="1.0" encoding="utf-8"?>
<calcChain xmlns="http://schemas.openxmlformats.org/spreadsheetml/2006/main">
  <c r="E5" i="1" l="1"/>
  <c r="D5" i="1"/>
  <c r="M19" i="1"/>
  <c r="N17" i="1"/>
  <c r="N19" i="1"/>
  <c r="M13" i="1"/>
  <c r="N13" i="1" s="1"/>
  <c r="M14" i="1"/>
  <c r="N14" i="1" s="1"/>
  <c r="M15" i="1"/>
  <c r="N15" i="1" s="1"/>
  <c r="M16" i="1"/>
  <c r="N16" i="1" s="1"/>
  <c r="M17" i="1"/>
  <c r="M18" i="1"/>
  <c r="N18" i="1" s="1"/>
  <c r="M20" i="1"/>
  <c r="N20" i="1" s="1"/>
  <c r="M21" i="1"/>
  <c r="N21" i="1" s="1"/>
  <c r="M22" i="1"/>
  <c r="N22" i="1" s="1"/>
  <c r="M12" i="1"/>
  <c r="N12" i="1" s="1"/>
</calcChain>
</file>

<file path=xl/sharedStrings.xml><?xml version="1.0" encoding="utf-8"?>
<sst xmlns="http://schemas.openxmlformats.org/spreadsheetml/2006/main" count="44" uniqueCount="30">
  <si>
    <t>Timestamp</t>
  </si>
  <si>
    <t>Bucket 1</t>
  </si>
  <si>
    <t>Bucket2</t>
  </si>
  <si>
    <t>Ch1</t>
  </si>
  <si>
    <t>Ch2</t>
  </si>
  <si>
    <t>Ch3</t>
  </si>
  <si>
    <t>Ch4</t>
  </si>
  <si>
    <t>Gross Weight</t>
  </si>
  <si>
    <t>lbs</t>
  </si>
  <si>
    <t>mV</t>
  </si>
  <si>
    <t>%</t>
  </si>
  <si>
    <t>2026-29-05 14:42:07</t>
  </si>
  <si>
    <t>2026-29-05 14:42:55</t>
  </si>
  <si>
    <t>2026-29-05 14:44:36</t>
  </si>
  <si>
    <t>2026-29-05 14:46:10</t>
  </si>
  <si>
    <t>2026-29-05 14:47:41</t>
  </si>
  <si>
    <t>2026-29-05 14:48:47</t>
  </si>
  <si>
    <t>2026-29-05 14:50:34</t>
  </si>
  <si>
    <t>2026-29-05 14:51:43</t>
  </si>
  <si>
    <t>2026-29-05 14:53:02</t>
  </si>
  <si>
    <t>2026-29-05 14:55:13</t>
  </si>
  <si>
    <t>2026-29-05 14:56:41</t>
  </si>
  <si>
    <t>Bucket 1 + 2</t>
  </si>
  <si>
    <t>diff</t>
  </si>
  <si>
    <t>Ch1 mV/V</t>
  </si>
  <si>
    <t>Ch2 mV/V</t>
  </si>
  <si>
    <t>Vx</t>
  </si>
  <si>
    <t>FS Load</t>
  </si>
  <si>
    <t>Slope</t>
  </si>
  <si>
    <t xml:space="preserve">Ch1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</si>
</sst>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0C86C-C81C-4E0A-BB0A-99EF6C090E31}">
  <dimension ref="A1:Q22"/>
  <sheetViews>
    <sheetView tabSelected="1" workbookViewId="0">
      <selection activeCell="P12" sqref="P12"/>
    </sheetView>
  </sheetViews>
  <sheetFormatPr defaultRowHeight="15" x14ac:dyDescent="0.25"/>
  <cols>
    <col min="1" max="1" width="18.28515625" bestFit="1" customWidth="1"/>
  </cols>
  <sheetData>
    <row r="1" spans="1:17" x14ac:dyDescent="0.25">
      <c r="D1" t="s">
        <v>24</v>
      </c>
      <c r="E1" t="s">
        <v>25</v>
      </c>
    </row>
    <row r="2" spans="1:17" x14ac:dyDescent="0.25">
      <c r="D2">
        <v>3.1949999999999998</v>
      </c>
      <c r="E2">
        <v>3.3029999999999999</v>
      </c>
    </row>
    <row r="3" spans="1:17" x14ac:dyDescent="0.25">
      <c r="C3" t="s">
        <v>26</v>
      </c>
      <c r="D3">
        <v>4.9729999999999999</v>
      </c>
      <c r="E3">
        <v>4.9729999999999999</v>
      </c>
    </row>
    <row r="4" spans="1:17" x14ac:dyDescent="0.25">
      <c r="C4" t="s">
        <v>27</v>
      </c>
      <c r="D4">
        <v>10</v>
      </c>
      <c r="E4">
        <v>10</v>
      </c>
    </row>
    <row r="5" spans="1:17" x14ac:dyDescent="0.25">
      <c r="C5" t="s">
        <v>28</v>
      </c>
      <c r="D5">
        <f>10/(D2*D3)</f>
        <v>0.6293767250822675</v>
      </c>
      <c r="E5">
        <f>10/(E2*E3)</f>
        <v>0.60879764960273819</v>
      </c>
    </row>
    <row r="10" spans="1:17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3</v>
      </c>
      <c r="I10" t="s">
        <v>4</v>
      </c>
      <c r="J10" t="s">
        <v>5</v>
      </c>
      <c r="K10" t="s">
        <v>6</v>
      </c>
      <c r="L10" t="s">
        <v>7</v>
      </c>
      <c r="M10" t="s">
        <v>7</v>
      </c>
      <c r="P10" t="s">
        <v>29</v>
      </c>
      <c r="Q10" t="s">
        <v>4</v>
      </c>
    </row>
    <row r="11" spans="1:17" x14ac:dyDescent="0.25">
      <c r="B11" t="s">
        <v>8</v>
      </c>
      <c r="C11" t="s">
        <v>8</v>
      </c>
      <c r="D11" t="s">
        <v>9</v>
      </c>
      <c r="E11" t="s">
        <v>9</v>
      </c>
      <c r="F11" t="s">
        <v>9</v>
      </c>
      <c r="G11" t="s">
        <v>9</v>
      </c>
      <c r="H11" t="s">
        <v>10</v>
      </c>
      <c r="I11" t="s">
        <v>10</v>
      </c>
      <c r="J11" t="s">
        <v>10</v>
      </c>
      <c r="K11" t="s">
        <v>10</v>
      </c>
      <c r="L11" t="s">
        <v>8</v>
      </c>
      <c r="M11" t="s">
        <v>22</v>
      </c>
      <c r="N11" t="s">
        <v>23</v>
      </c>
    </row>
    <row r="12" spans="1:17" x14ac:dyDescent="0.25">
      <c r="A12" t="s">
        <v>11</v>
      </c>
      <c r="B12">
        <v>0</v>
      </c>
      <c r="C12">
        <v>0</v>
      </c>
      <c r="D12">
        <v>72</v>
      </c>
      <c r="E12">
        <v>65457</v>
      </c>
      <c r="F12">
        <v>0</v>
      </c>
      <c r="G12">
        <v>0</v>
      </c>
      <c r="H12">
        <v>47.4</v>
      </c>
      <c r="I12">
        <v>6501.1</v>
      </c>
      <c r="J12">
        <v>0</v>
      </c>
      <c r="K12">
        <v>0</v>
      </c>
      <c r="L12">
        <v>-5.1999999999999998E-2</v>
      </c>
      <c r="M12">
        <f>SUM(B12:C12)</f>
        <v>0</v>
      </c>
      <c r="N12">
        <f>M12-L12</f>
        <v>5.1999999999999998E-2</v>
      </c>
    </row>
    <row r="13" spans="1:17" x14ac:dyDescent="0.25">
      <c r="A13" t="s">
        <v>12</v>
      </c>
      <c r="B13">
        <v>1.76</v>
      </c>
      <c r="C13">
        <v>1.68</v>
      </c>
      <c r="D13">
        <v>640</v>
      </c>
      <c r="E13">
        <v>359</v>
      </c>
      <c r="F13">
        <v>0</v>
      </c>
      <c r="G13">
        <v>0</v>
      </c>
      <c r="H13">
        <v>64</v>
      </c>
      <c r="I13">
        <v>35.9</v>
      </c>
      <c r="J13">
        <v>0</v>
      </c>
      <c r="K13">
        <v>0</v>
      </c>
      <c r="L13">
        <v>3.7</v>
      </c>
      <c r="M13">
        <f t="shared" ref="M13:M22" si="0">SUM(B13:C13)</f>
        <v>3.44</v>
      </c>
      <c r="N13">
        <f t="shared" ref="N13:N22" si="1">M13-L13</f>
        <v>-0.26000000000000023</v>
      </c>
    </row>
    <row r="14" spans="1:17" x14ac:dyDescent="0.25">
      <c r="A14" t="s">
        <v>13</v>
      </c>
      <c r="B14">
        <v>2.2999999999999998</v>
      </c>
      <c r="C14">
        <v>2.2799999999999998</v>
      </c>
      <c r="D14">
        <v>596</v>
      </c>
      <c r="E14">
        <v>403</v>
      </c>
      <c r="F14">
        <v>0</v>
      </c>
      <c r="G14">
        <v>0</v>
      </c>
      <c r="H14">
        <v>59.6</v>
      </c>
      <c r="I14">
        <v>40.299999999999997</v>
      </c>
      <c r="J14">
        <v>0</v>
      </c>
      <c r="K14">
        <v>0</v>
      </c>
      <c r="L14">
        <v>4.9320000000000004</v>
      </c>
      <c r="M14">
        <f t="shared" si="0"/>
        <v>4.58</v>
      </c>
      <c r="N14">
        <f t="shared" si="1"/>
        <v>-0.35200000000000031</v>
      </c>
    </row>
    <row r="15" spans="1:17" x14ac:dyDescent="0.25">
      <c r="A15" t="s">
        <v>14</v>
      </c>
      <c r="B15">
        <v>3.16</v>
      </c>
      <c r="C15">
        <v>3.16</v>
      </c>
      <c r="D15">
        <v>566</v>
      </c>
      <c r="E15">
        <v>433</v>
      </c>
      <c r="F15">
        <v>0</v>
      </c>
      <c r="G15">
        <v>0</v>
      </c>
      <c r="H15">
        <v>56.6</v>
      </c>
      <c r="I15">
        <v>43.3</v>
      </c>
      <c r="J15">
        <v>0</v>
      </c>
      <c r="K15">
        <v>0</v>
      </c>
      <c r="L15">
        <v>6.798</v>
      </c>
      <c r="M15">
        <f t="shared" si="0"/>
        <v>6.32</v>
      </c>
      <c r="N15">
        <f t="shared" si="1"/>
        <v>-0.47799999999999976</v>
      </c>
    </row>
    <row r="16" spans="1:17" x14ac:dyDescent="0.25">
      <c r="A16" t="s">
        <v>15</v>
      </c>
      <c r="B16">
        <v>4.34</v>
      </c>
      <c r="C16">
        <v>4.28</v>
      </c>
      <c r="D16">
        <v>548</v>
      </c>
      <c r="E16">
        <v>451</v>
      </c>
      <c r="F16">
        <v>0</v>
      </c>
      <c r="G16">
        <v>0</v>
      </c>
      <c r="H16">
        <v>54.8</v>
      </c>
      <c r="I16">
        <v>45.1</v>
      </c>
      <c r="J16">
        <v>0</v>
      </c>
      <c r="K16">
        <v>0</v>
      </c>
      <c r="L16">
        <v>9.2940000000000005</v>
      </c>
      <c r="M16">
        <f t="shared" si="0"/>
        <v>8.620000000000001</v>
      </c>
      <c r="N16">
        <f t="shared" si="1"/>
        <v>-0.67399999999999949</v>
      </c>
    </row>
    <row r="17" spans="1:14" x14ac:dyDescent="0.25">
      <c r="A17" t="s">
        <v>16</v>
      </c>
      <c r="B17">
        <v>5.44</v>
      </c>
      <c r="C17">
        <v>5.6</v>
      </c>
      <c r="D17">
        <v>527</v>
      </c>
      <c r="E17">
        <v>472</v>
      </c>
      <c r="F17">
        <v>0</v>
      </c>
      <c r="G17">
        <v>0</v>
      </c>
      <c r="H17">
        <v>52.7</v>
      </c>
      <c r="I17">
        <v>47.2</v>
      </c>
      <c r="J17">
        <v>0</v>
      </c>
      <c r="K17">
        <v>0</v>
      </c>
      <c r="L17">
        <v>11.923999999999999</v>
      </c>
      <c r="M17">
        <f t="shared" si="0"/>
        <v>11.04</v>
      </c>
      <c r="N17">
        <f t="shared" si="1"/>
        <v>-0.88400000000000034</v>
      </c>
    </row>
    <row r="18" spans="1:14" x14ac:dyDescent="0.25">
      <c r="A18" t="s">
        <v>17</v>
      </c>
      <c r="B18">
        <v>6.5</v>
      </c>
      <c r="C18">
        <v>6.48</v>
      </c>
      <c r="D18">
        <v>528</v>
      </c>
      <c r="E18">
        <v>471</v>
      </c>
      <c r="F18">
        <v>0</v>
      </c>
      <c r="G18">
        <v>0</v>
      </c>
      <c r="H18">
        <v>52.8</v>
      </c>
      <c r="I18">
        <v>47.1</v>
      </c>
      <c r="J18">
        <v>0</v>
      </c>
      <c r="K18">
        <v>0</v>
      </c>
      <c r="L18">
        <v>14.02</v>
      </c>
      <c r="M18">
        <f t="shared" si="0"/>
        <v>12.98</v>
      </c>
      <c r="N18">
        <f t="shared" si="1"/>
        <v>-1.0399999999999991</v>
      </c>
    </row>
    <row r="19" spans="1:14" x14ac:dyDescent="0.25">
      <c r="A19" t="s">
        <v>18</v>
      </c>
      <c r="B19">
        <v>7.26</v>
      </c>
      <c r="C19">
        <v>7.44</v>
      </c>
      <c r="D19">
        <v>517</v>
      </c>
      <c r="E19">
        <v>482</v>
      </c>
      <c r="F19">
        <v>0</v>
      </c>
      <c r="G19">
        <v>0</v>
      </c>
      <c r="H19">
        <v>51.7</v>
      </c>
      <c r="I19">
        <v>48.2</v>
      </c>
      <c r="J19">
        <v>0</v>
      </c>
      <c r="K19">
        <v>0</v>
      </c>
      <c r="L19">
        <v>15.878</v>
      </c>
      <c r="M19">
        <f>SUM(B19:C19)</f>
        <v>14.7</v>
      </c>
      <c r="N19">
        <f t="shared" si="1"/>
        <v>-1.1780000000000008</v>
      </c>
    </row>
    <row r="20" spans="1:14" x14ac:dyDescent="0.25">
      <c r="A20" t="s">
        <v>19</v>
      </c>
      <c r="B20">
        <v>8.44</v>
      </c>
      <c r="C20">
        <v>8.68</v>
      </c>
      <c r="D20">
        <v>512</v>
      </c>
      <c r="E20">
        <v>487</v>
      </c>
      <c r="F20">
        <v>0</v>
      </c>
      <c r="G20">
        <v>0</v>
      </c>
      <c r="H20">
        <v>51.2</v>
      </c>
      <c r="I20">
        <v>48.7</v>
      </c>
      <c r="J20">
        <v>0</v>
      </c>
      <c r="K20">
        <v>0</v>
      </c>
      <c r="L20">
        <v>18.48</v>
      </c>
      <c r="M20">
        <f t="shared" si="0"/>
        <v>17.119999999999997</v>
      </c>
      <c r="N20">
        <f t="shared" si="1"/>
        <v>-1.360000000000003</v>
      </c>
    </row>
    <row r="21" spans="1:14" x14ac:dyDescent="0.25">
      <c r="A21" t="s">
        <v>20</v>
      </c>
      <c r="B21">
        <v>9.52</v>
      </c>
      <c r="C21">
        <v>9.7200000000000006</v>
      </c>
      <c r="D21">
        <v>510</v>
      </c>
      <c r="E21">
        <v>489</v>
      </c>
      <c r="F21">
        <v>0</v>
      </c>
      <c r="G21">
        <v>0</v>
      </c>
      <c r="H21">
        <v>51</v>
      </c>
      <c r="I21">
        <v>48.9</v>
      </c>
      <c r="J21">
        <v>0</v>
      </c>
      <c r="K21">
        <v>0</v>
      </c>
      <c r="L21">
        <v>20.782</v>
      </c>
      <c r="M21">
        <f t="shared" si="0"/>
        <v>19.240000000000002</v>
      </c>
      <c r="N21">
        <f t="shared" si="1"/>
        <v>-1.541999999999998</v>
      </c>
    </row>
    <row r="22" spans="1:14" x14ac:dyDescent="0.25">
      <c r="A22" t="s">
        <v>21</v>
      </c>
      <c r="B22">
        <v>0</v>
      </c>
      <c r="C22">
        <v>0</v>
      </c>
      <c r="D22">
        <v>480</v>
      </c>
      <c r="E22">
        <v>65017</v>
      </c>
      <c r="F22">
        <v>0</v>
      </c>
      <c r="G22">
        <v>0</v>
      </c>
      <c r="H22">
        <v>48</v>
      </c>
      <c r="I22">
        <v>6501.7</v>
      </c>
      <c r="J22">
        <v>0</v>
      </c>
      <c r="K22">
        <v>0</v>
      </c>
      <c r="L22">
        <v>-0.04</v>
      </c>
      <c r="M22">
        <f t="shared" si="0"/>
        <v>0</v>
      </c>
      <c r="N22">
        <f t="shared" si="1"/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LoadCalibration_2026-29-05_1442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M Milliren</cp:lastModifiedBy>
  <dcterms:created xsi:type="dcterms:W3CDTF">2026-05-29T20:10:47Z</dcterms:created>
  <dcterms:modified xsi:type="dcterms:W3CDTF">2026-05-29T20:56:23Z</dcterms:modified>
</cp:coreProperties>
</file>