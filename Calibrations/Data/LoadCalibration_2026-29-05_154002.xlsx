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lli079\Documents\GitHub\SAFL-Mesocosms\"/>
    </mc:Choice>
  </mc:AlternateContent>
  <xr:revisionPtr revIDLastSave="0" documentId="13_ncr:1_{111E80B1-CF72-48BD-A7DD-4A3170B30B1A}" xr6:coauthVersionLast="47" xr6:coauthVersionMax="47" xr10:uidLastSave="{00000000-0000-0000-0000-000000000000}"/>
  <bookViews>
    <workbookView xWindow="-120" yWindow="-120" windowWidth="29040" windowHeight="17520" xr2:uid="{DA755F69-6ACC-428E-A074-D832AF2D005F}"/>
  </bookViews>
  <sheets>
    <sheet name="LoadCalibration_2026-29-05_154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0" i="1" l="1"/>
  <c r="X11" i="1"/>
  <c r="X12" i="1"/>
  <c r="X13" i="1"/>
  <c r="X14" i="1"/>
  <c r="X15" i="1"/>
  <c r="X16" i="1"/>
  <c r="X17" i="1"/>
  <c r="X10" i="1"/>
  <c r="W10" i="1"/>
  <c r="W11" i="1"/>
  <c r="W12" i="1"/>
  <c r="W13" i="1"/>
  <c r="W14" i="1"/>
  <c r="W15" i="1"/>
  <c r="W16" i="1"/>
  <c r="W17" i="1"/>
  <c r="E5" i="1"/>
  <c r="D5" i="1"/>
  <c r="M11" i="1"/>
  <c r="N11" i="1" s="1"/>
  <c r="M12" i="1"/>
  <c r="N12" i="1" s="1"/>
  <c r="M13" i="1"/>
  <c r="N13" i="1" s="1"/>
  <c r="M14" i="1"/>
  <c r="N14" i="1" s="1"/>
  <c r="M15" i="1"/>
  <c r="N15" i="1" s="1"/>
  <c r="M16" i="1"/>
  <c r="N16" i="1" s="1"/>
  <c r="M17" i="1"/>
  <c r="N17" i="1" s="1"/>
  <c r="M10" i="1"/>
  <c r="N10" i="1" s="1"/>
  <c r="O14" i="1" l="1"/>
  <c r="Q14" i="1" s="1"/>
  <c r="R14" i="1" s="1"/>
  <c r="P17" i="1"/>
  <c r="O17" i="1"/>
  <c r="P10" i="1"/>
  <c r="P16" i="1" s="1"/>
  <c r="O11" i="1" l="1"/>
  <c r="Q10" i="1"/>
  <c r="O12" i="1"/>
  <c r="Q12" i="1" s="1"/>
  <c r="R12" i="1" s="1"/>
  <c r="O16" i="1"/>
  <c r="O15" i="1"/>
  <c r="Q15" i="1" s="1"/>
  <c r="R15" i="1" s="1"/>
  <c r="O13" i="1"/>
  <c r="Q13" i="1" s="1"/>
  <c r="R13" i="1" s="1"/>
  <c r="Q17" i="1"/>
  <c r="R17" i="1" s="1"/>
  <c r="U17" i="1"/>
  <c r="V17" i="1" s="1"/>
  <c r="Q11" i="1"/>
  <c r="R11" i="1" s="1"/>
  <c r="P11" i="1"/>
  <c r="S11" i="1" s="1"/>
  <c r="T11" i="1" s="1"/>
  <c r="P13" i="1"/>
  <c r="P12" i="1"/>
  <c r="S10" i="1"/>
  <c r="P15" i="1"/>
  <c r="U15" i="1" s="1"/>
  <c r="V15" i="1" s="1"/>
  <c r="Q16" i="1"/>
  <c r="R16" i="1" s="1"/>
  <c r="U16" i="1"/>
  <c r="V16" i="1" s="1"/>
  <c r="P14" i="1"/>
  <c r="U14" i="1" s="1"/>
  <c r="V14" i="1" s="1"/>
  <c r="U13" i="1" l="1"/>
  <c r="V13" i="1" s="1"/>
  <c r="U12" i="1"/>
  <c r="V12" i="1" s="1"/>
  <c r="S12" i="1"/>
  <c r="T12" i="1" s="1"/>
  <c r="S13" i="1"/>
  <c r="T13" i="1" s="1"/>
  <c r="U11" i="1"/>
  <c r="V11" i="1" s="1"/>
  <c r="S14" i="1"/>
  <c r="T14" i="1" s="1"/>
  <c r="S15" i="1" l="1"/>
  <c r="T15" i="1" s="1"/>
  <c r="S16" i="1" l="1"/>
  <c r="T16" i="1" s="1"/>
  <c r="S17" i="1"/>
  <c r="T17" i="1" s="1"/>
</calcChain>
</file>

<file path=xl/sharedStrings.xml><?xml version="1.0" encoding="utf-8"?>
<sst xmlns="http://schemas.openxmlformats.org/spreadsheetml/2006/main" count="53" uniqueCount="34">
  <si>
    <t>Timestamp</t>
  </si>
  <si>
    <t>Bucket 1</t>
  </si>
  <si>
    <t>Bucket2</t>
  </si>
  <si>
    <t>Ch1</t>
  </si>
  <si>
    <t>Ch2</t>
  </si>
  <si>
    <t>Ch3</t>
  </si>
  <si>
    <t>Ch4</t>
  </si>
  <si>
    <t>Gross Weight</t>
  </si>
  <si>
    <t>lbs</t>
  </si>
  <si>
    <t>mV</t>
  </si>
  <si>
    <t>%</t>
  </si>
  <si>
    <t>2026-29-05 15:40:05</t>
  </si>
  <si>
    <t>2026-29-05 15:41:07</t>
  </si>
  <si>
    <t>2026-29-05 15:42:45</t>
  </si>
  <si>
    <t>2026-29-05 15:43:46</t>
  </si>
  <si>
    <t>2026-29-05 15:44:38</t>
  </si>
  <si>
    <t>2026-29-05 15:46:09</t>
  </si>
  <si>
    <t>2026-29-05 15:47:01</t>
  </si>
  <si>
    <t>2026-29-05 15:48:09</t>
  </si>
  <si>
    <t>Bucket 1 + 2</t>
  </si>
  <si>
    <t>Ch1 mV/V</t>
  </si>
  <si>
    <t>Ch2 mV/V</t>
  </si>
  <si>
    <t>Vx</t>
  </si>
  <si>
    <t>FS Load</t>
  </si>
  <si>
    <t>Slope</t>
  </si>
  <si>
    <t>Ch1 Lbs</t>
  </si>
  <si>
    <t>Ch2 Lbs</t>
  </si>
  <si>
    <t>Ch1 Diff</t>
  </si>
  <si>
    <t>Ch2 Diff</t>
  </si>
  <si>
    <t>Gross</t>
  </si>
  <si>
    <t>Ch1 + Ch2</t>
  </si>
  <si>
    <t>Diff</t>
  </si>
  <si>
    <t>mL Water</t>
  </si>
  <si>
    <t>Ch1 %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</si>
</sst>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3A5F0-7ED7-4D0C-A463-8F54464DB3F2}">
  <dimension ref="A1:X17"/>
  <sheetViews>
    <sheetView tabSelected="1" workbookViewId="0">
      <selection activeCell="V17" sqref="V17"/>
    </sheetView>
  </sheetViews>
  <sheetFormatPr defaultRowHeight="15" x14ac:dyDescent="0.25"/>
  <cols>
    <col min="18" max="18" width="12" bestFit="1" customWidth="1"/>
  </cols>
  <sheetData>
    <row r="1" spans="1:24" x14ac:dyDescent="0.25">
      <c r="D1" t="s">
        <v>20</v>
      </c>
      <c r="E1" t="s">
        <v>21</v>
      </c>
    </row>
    <row r="2" spans="1:24" x14ac:dyDescent="0.25">
      <c r="D2">
        <v>3.1949999999999998</v>
      </c>
      <c r="E2">
        <v>3.3029999999999999</v>
      </c>
    </row>
    <row r="3" spans="1:24" x14ac:dyDescent="0.25">
      <c r="C3" t="s">
        <v>22</v>
      </c>
      <c r="D3">
        <v>4.9729999999999999</v>
      </c>
      <c r="E3">
        <v>4.9729999999999999</v>
      </c>
    </row>
    <row r="4" spans="1:24" x14ac:dyDescent="0.25">
      <c r="C4" t="s">
        <v>23</v>
      </c>
      <c r="D4">
        <v>10</v>
      </c>
      <c r="E4">
        <v>10</v>
      </c>
    </row>
    <row r="5" spans="1:24" x14ac:dyDescent="0.25">
      <c r="C5" t="s">
        <v>24</v>
      </c>
      <c r="D5">
        <f>10/(D2*D3)</f>
        <v>0.6293767250822675</v>
      </c>
      <c r="E5">
        <f>10/(E2*E3)</f>
        <v>0.60879764960273819</v>
      </c>
    </row>
    <row r="8" spans="1:24" x14ac:dyDescent="0.25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3</v>
      </c>
      <c r="I8" t="s">
        <v>4</v>
      </c>
      <c r="J8" t="s">
        <v>5</v>
      </c>
      <c r="K8" t="s">
        <v>6</v>
      </c>
      <c r="L8" t="s">
        <v>7</v>
      </c>
      <c r="M8" t="s">
        <v>7</v>
      </c>
      <c r="O8" t="s">
        <v>25</v>
      </c>
      <c r="P8" t="s">
        <v>26</v>
      </c>
      <c r="Q8" t="s">
        <v>27</v>
      </c>
      <c r="R8" t="s">
        <v>27</v>
      </c>
      <c r="S8" t="s">
        <v>28</v>
      </c>
      <c r="T8" t="s">
        <v>28</v>
      </c>
      <c r="U8" t="s">
        <v>29</v>
      </c>
      <c r="V8" t="s">
        <v>29</v>
      </c>
      <c r="W8" t="s">
        <v>33</v>
      </c>
    </row>
    <row r="9" spans="1:24" x14ac:dyDescent="0.25">
      <c r="B9" t="s">
        <v>8</v>
      </c>
      <c r="C9" t="s">
        <v>8</v>
      </c>
      <c r="D9" t="s">
        <v>9</v>
      </c>
      <c r="E9" t="s">
        <v>9</v>
      </c>
      <c r="F9" t="s">
        <v>9</v>
      </c>
      <c r="G9" t="s">
        <v>9</v>
      </c>
      <c r="H9" t="s">
        <v>10</v>
      </c>
      <c r="I9" t="s">
        <v>10</v>
      </c>
      <c r="J9" t="s">
        <v>10</v>
      </c>
      <c r="K9" t="s">
        <v>10</v>
      </c>
      <c r="L9" t="s">
        <v>8</v>
      </c>
      <c r="M9" t="s">
        <v>19</v>
      </c>
      <c r="Q9" t="s">
        <v>8</v>
      </c>
      <c r="R9" t="s">
        <v>32</v>
      </c>
      <c r="S9" t="s">
        <v>8</v>
      </c>
      <c r="T9" t="s">
        <v>32</v>
      </c>
      <c r="U9" t="s">
        <v>30</v>
      </c>
      <c r="V9" t="s">
        <v>31</v>
      </c>
    </row>
    <row r="10" spans="1:24" x14ac:dyDescent="0.25">
      <c r="A10" t="s">
        <v>11</v>
      </c>
      <c r="B10">
        <v>0</v>
      </c>
      <c r="C10">
        <v>0</v>
      </c>
      <c r="D10">
        <v>0.71</v>
      </c>
      <c r="E10">
        <v>-0.79</v>
      </c>
      <c r="F10">
        <v>0</v>
      </c>
      <c r="G10">
        <v>0</v>
      </c>
      <c r="H10">
        <v>47.9</v>
      </c>
      <c r="I10">
        <v>6501.6</v>
      </c>
      <c r="J10">
        <v>0</v>
      </c>
      <c r="K10">
        <v>0</v>
      </c>
      <c r="L10">
        <v>-0.04</v>
      </c>
      <c r="M10">
        <f>SUM(B10:C10)</f>
        <v>0</v>
      </c>
      <c r="N10">
        <f>M10-L10</f>
        <v>0.04</v>
      </c>
      <c r="O10">
        <f>D10*$D$5</f>
        <v>0.44685747480840993</v>
      </c>
      <c r="P10">
        <f>E10*$E$5</f>
        <v>-0.48095014318616319</v>
      </c>
      <c r="Q10">
        <f>O10-B10</f>
        <v>0.44685747480840993</v>
      </c>
      <c r="S10">
        <f>P10-C10</f>
        <v>-0.48095014318616319</v>
      </c>
      <c r="W10">
        <f>$L10*H10/100</f>
        <v>-1.916E-2</v>
      </c>
      <c r="X10">
        <f>$L10*I10/100</f>
        <v>-2.6006400000000003</v>
      </c>
    </row>
    <row r="11" spans="1:24" x14ac:dyDescent="0.25">
      <c r="A11" t="s">
        <v>12</v>
      </c>
      <c r="B11">
        <v>1.76</v>
      </c>
      <c r="C11">
        <v>1.68</v>
      </c>
      <c r="D11">
        <v>3.55</v>
      </c>
      <c r="E11">
        <v>2.02</v>
      </c>
      <c r="F11">
        <v>0</v>
      </c>
      <c r="G11">
        <v>0</v>
      </c>
      <c r="H11">
        <v>63.8</v>
      </c>
      <c r="I11">
        <v>36.1</v>
      </c>
      <c r="J11">
        <v>0</v>
      </c>
      <c r="K11">
        <v>0</v>
      </c>
      <c r="L11">
        <v>3.7120000000000002</v>
      </c>
      <c r="M11">
        <f t="shared" ref="M11:M17" si="0">SUM(B11:C11)</f>
        <v>3.44</v>
      </c>
      <c r="N11">
        <f t="shared" ref="N11:N17" si="1">M11-L11</f>
        <v>-0.27200000000000024</v>
      </c>
      <c r="O11">
        <f>D11*$D$5-$O$10</f>
        <v>1.7874298992336395</v>
      </c>
      <c r="P11">
        <f>E11*$E$5-$P$10</f>
        <v>1.7107213953836944</v>
      </c>
      <c r="Q11">
        <f t="shared" ref="Q11:Q17" si="2">O11-B11</f>
        <v>2.7429899233639476E-2</v>
      </c>
      <c r="R11">
        <f>Q11*453.6</f>
        <v>12.442202292378868</v>
      </c>
      <c r="S11">
        <f t="shared" ref="S11:S17" si="3">P11-C11</f>
        <v>3.072139538369445E-2</v>
      </c>
      <c r="T11">
        <f>S11*453.6</f>
        <v>13.935224946043803</v>
      </c>
      <c r="U11">
        <f>O11+P11</f>
        <v>3.4981512946173341</v>
      </c>
      <c r="V11">
        <f>U11-M11</f>
        <v>5.8151294617334148E-2</v>
      </c>
      <c r="W11">
        <f t="shared" ref="W11:W17" si="4">L11*H11/100</f>
        <v>2.3682560000000001</v>
      </c>
      <c r="X11">
        <f t="shared" ref="X11:X17" si="5">$L11*I11/100</f>
        <v>1.3400320000000001</v>
      </c>
    </row>
    <row r="12" spans="1:24" x14ac:dyDescent="0.25">
      <c r="A12" t="s">
        <v>13</v>
      </c>
      <c r="B12">
        <v>3.14</v>
      </c>
      <c r="C12">
        <v>2.8</v>
      </c>
      <c r="D12">
        <v>5.74</v>
      </c>
      <c r="E12">
        <v>3.88</v>
      </c>
      <c r="F12">
        <v>0</v>
      </c>
      <c r="G12">
        <v>0</v>
      </c>
      <c r="H12">
        <v>59.6</v>
      </c>
      <c r="I12">
        <v>40.299999999999997</v>
      </c>
      <c r="J12">
        <v>0</v>
      </c>
      <c r="K12">
        <v>0</v>
      </c>
      <c r="L12">
        <v>6.4059999999999997</v>
      </c>
      <c r="M12">
        <f t="shared" si="0"/>
        <v>5.9399999999999995</v>
      </c>
      <c r="N12">
        <f t="shared" si="1"/>
        <v>-0.46600000000000019</v>
      </c>
      <c r="O12">
        <f t="shared" ref="O12:O17" si="6">D12*$D$5-$O$10</f>
        <v>3.1657649271638055</v>
      </c>
      <c r="P12">
        <f t="shared" ref="P12:P17" si="7">E12*$E$5-$P$10</f>
        <v>2.8430850236447873</v>
      </c>
      <c r="Q12">
        <f t="shared" si="2"/>
        <v>2.5764927163805407E-2</v>
      </c>
      <c r="R12">
        <f t="shared" ref="R12:R17" si="8">Q12*453.6</f>
        <v>11.686970961502134</v>
      </c>
      <c r="S12">
        <f t="shared" si="3"/>
        <v>4.3085023644787501E-2</v>
      </c>
      <c r="T12">
        <f t="shared" ref="T12:T17" si="9">S12*453.6</f>
        <v>19.543366725275611</v>
      </c>
      <c r="U12">
        <f t="shared" ref="U12:U17" si="10">O12+P12</f>
        <v>6.0088499508085924</v>
      </c>
      <c r="V12">
        <f t="shared" ref="V12:V17" si="11">U12-M12</f>
        <v>6.8849950808592908E-2</v>
      </c>
      <c r="W12">
        <f t="shared" si="4"/>
        <v>3.8179759999999998</v>
      </c>
      <c r="X12">
        <f t="shared" si="5"/>
        <v>2.5816179999999997</v>
      </c>
    </row>
    <row r="13" spans="1:24" x14ac:dyDescent="0.25">
      <c r="A13" t="s">
        <v>14</v>
      </c>
      <c r="B13">
        <v>4.46</v>
      </c>
      <c r="C13">
        <v>4.3600000000000003</v>
      </c>
      <c r="D13">
        <v>7.89</v>
      </c>
      <c r="E13">
        <v>6.45</v>
      </c>
      <c r="F13">
        <v>0</v>
      </c>
      <c r="G13">
        <v>0</v>
      </c>
      <c r="H13">
        <v>55</v>
      </c>
      <c r="I13">
        <v>44.9</v>
      </c>
      <c r="J13">
        <v>0</v>
      </c>
      <c r="K13">
        <v>0</v>
      </c>
      <c r="L13">
        <v>9.5640000000000001</v>
      </c>
      <c r="M13">
        <f t="shared" si="0"/>
        <v>8.82</v>
      </c>
      <c r="N13">
        <f t="shared" si="1"/>
        <v>-0.74399999999999977</v>
      </c>
      <c r="O13">
        <f t="shared" si="6"/>
        <v>4.5189248860906801</v>
      </c>
      <c r="P13">
        <f t="shared" si="7"/>
        <v>4.4076949831238244</v>
      </c>
      <c r="Q13">
        <f t="shared" si="2"/>
        <v>5.892488609068014E-2</v>
      </c>
      <c r="R13">
        <f t="shared" si="8"/>
        <v>26.728328330732513</v>
      </c>
      <c r="S13">
        <f t="shared" si="3"/>
        <v>4.7694983123824031E-2</v>
      </c>
      <c r="T13">
        <f t="shared" si="9"/>
        <v>21.634444344966582</v>
      </c>
      <c r="U13">
        <f t="shared" si="10"/>
        <v>8.9266198692145053</v>
      </c>
      <c r="V13">
        <f t="shared" si="11"/>
        <v>0.10661986921450506</v>
      </c>
      <c r="W13">
        <f t="shared" si="4"/>
        <v>5.2602000000000002</v>
      </c>
      <c r="X13">
        <f t="shared" si="5"/>
        <v>4.2942359999999997</v>
      </c>
    </row>
    <row r="14" spans="1:24" x14ac:dyDescent="0.25">
      <c r="A14" t="s">
        <v>15</v>
      </c>
      <c r="B14">
        <v>6.28</v>
      </c>
      <c r="C14">
        <v>5.54</v>
      </c>
      <c r="D14">
        <v>10.78</v>
      </c>
      <c r="E14">
        <v>8.3800000000000008</v>
      </c>
      <c r="F14">
        <v>0</v>
      </c>
      <c r="G14">
        <v>0</v>
      </c>
      <c r="H14">
        <v>56.2</v>
      </c>
      <c r="I14">
        <v>43.7</v>
      </c>
      <c r="J14">
        <v>0</v>
      </c>
      <c r="K14">
        <v>0</v>
      </c>
      <c r="L14">
        <v>12.782</v>
      </c>
      <c r="M14">
        <f t="shared" si="0"/>
        <v>11.82</v>
      </c>
      <c r="N14">
        <f t="shared" si="1"/>
        <v>-0.96199999999999974</v>
      </c>
      <c r="O14">
        <f t="shared" si="6"/>
        <v>6.3378236215784334</v>
      </c>
      <c r="P14">
        <f t="shared" si="7"/>
        <v>5.5826744468571095</v>
      </c>
      <c r="Q14">
        <f t="shared" si="2"/>
        <v>5.7823621578433126E-2</v>
      </c>
      <c r="R14">
        <f t="shared" si="8"/>
        <v>26.228794747977268</v>
      </c>
      <c r="S14">
        <f t="shared" si="3"/>
        <v>4.2674446857109416E-2</v>
      </c>
      <c r="T14">
        <f t="shared" si="9"/>
        <v>19.357129094384831</v>
      </c>
      <c r="U14">
        <f t="shared" si="10"/>
        <v>11.920498068435542</v>
      </c>
      <c r="V14">
        <f t="shared" si="11"/>
        <v>0.10049806843554165</v>
      </c>
      <c r="W14">
        <f t="shared" si="4"/>
        <v>7.1834840000000009</v>
      </c>
      <c r="X14">
        <f t="shared" si="5"/>
        <v>5.5857339999999995</v>
      </c>
    </row>
    <row r="15" spans="1:24" x14ac:dyDescent="0.25">
      <c r="A15" t="s">
        <v>16</v>
      </c>
      <c r="B15">
        <v>7.52</v>
      </c>
      <c r="C15">
        <v>7.36</v>
      </c>
      <c r="D15">
        <v>12.77</v>
      </c>
      <c r="E15">
        <v>11.39</v>
      </c>
      <c r="F15">
        <v>0</v>
      </c>
      <c r="G15">
        <v>0</v>
      </c>
      <c r="H15">
        <v>52.8</v>
      </c>
      <c r="I15">
        <v>47.1</v>
      </c>
      <c r="J15">
        <v>0</v>
      </c>
      <c r="K15">
        <v>0</v>
      </c>
      <c r="L15">
        <v>16.103999999999999</v>
      </c>
      <c r="M15">
        <f t="shared" si="0"/>
        <v>14.879999999999999</v>
      </c>
      <c r="N15">
        <f t="shared" si="1"/>
        <v>-1.2240000000000002</v>
      </c>
      <c r="O15">
        <f t="shared" si="6"/>
        <v>7.5902833044921456</v>
      </c>
      <c r="P15">
        <f t="shared" si="7"/>
        <v>7.4151553721613519</v>
      </c>
      <c r="Q15">
        <f t="shared" si="2"/>
        <v>7.0283304492146037E-2</v>
      </c>
      <c r="R15">
        <f t="shared" si="8"/>
        <v>31.880506917637444</v>
      </c>
      <c r="S15">
        <f t="shared" si="3"/>
        <v>5.5155372161351579E-2</v>
      </c>
      <c r="T15">
        <f t="shared" si="9"/>
        <v>25.018476812389078</v>
      </c>
      <c r="U15">
        <f t="shared" si="10"/>
        <v>15.005438676653498</v>
      </c>
      <c r="V15">
        <f t="shared" si="11"/>
        <v>0.1254386766534985</v>
      </c>
      <c r="W15">
        <f t="shared" si="4"/>
        <v>8.5029119999999985</v>
      </c>
      <c r="X15">
        <f t="shared" si="5"/>
        <v>7.5849839999999995</v>
      </c>
    </row>
    <row r="16" spans="1:24" x14ac:dyDescent="0.25">
      <c r="A16" t="s">
        <v>17</v>
      </c>
      <c r="B16">
        <v>9.08</v>
      </c>
      <c r="C16">
        <v>8.9</v>
      </c>
      <c r="D16">
        <v>15.26</v>
      </c>
      <c r="E16">
        <v>13.91</v>
      </c>
      <c r="F16">
        <v>0</v>
      </c>
      <c r="G16">
        <v>0</v>
      </c>
      <c r="H16">
        <v>52.3</v>
      </c>
      <c r="I16">
        <v>47.6</v>
      </c>
      <c r="J16">
        <v>0</v>
      </c>
      <c r="K16">
        <v>0</v>
      </c>
      <c r="L16">
        <v>19.466000000000001</v>
      </c>
      <c r="M16">
        <f t="shared" si="0"/>
        <v>17.98</v>
      </c>
      <c r="N16">
        <f t="shared" si="1"/>
        <v>-1.4860000000000007</v>
      </c>
      <c r="O16">
        <f t="shared" si="6"/>
        <v>9.157431349946993</v>
      </c>
      <c r="P16">
        <f t="shared" si="7"/>
        <v>8.9493254491602521</v>
      </c>
      <c r="Q16">
        <f t="shared" si="2"/>
        <v>7.7431349946992967E-2</v>
      </c>
      <c r="R16">
        <f t="shared" si="8"/>
        <v>35.122860335956013</v>
      </c>
      <c r="S16">
        <f t="shared" si="3"/>
        <v>4.9325449160251722E-2</v>
      </c>
      <c r="T16">
        <f t="shared" si="9"/>
        <v>22.374023739090184</v>
      </c>
      <c r="U16">
        <f t="shared" si="10"/>
        <v>18.106756799107245</v>
      </c>
      <c r="V16">
        <f t="shared" si="11"/>
        <v>0.12675679910724469</v>
      </c>
      <c r="W16">
        <f t="shared" si="4"/>
        <v>10.180718000000001</v>
      </c>
      <c r="X16">
        <f t="shared" si="5"/>
        <v>9.2658160000000009</v>
      </c>
    </row>
    <row r="17" spans="1:24" x14ac:dyDescent="0.25">
      <c r="A17" t="s">
        <v>18</v>
      </c>
      <c r="B17">
        <v>10.38</v>
      </c>
      <c r="C17">
        <v>8.9</v>
      </c>
      <c r="D17">
        <v>17.329999999999998</v>
      </c>
      <c r="E17">
        <v>13.9</v>
      </c>
      <c r="F17">
        <v>0</v>
      </c>
      <c r="G17">
        <v>0</v>
      </c>
      <c r="H17">
        <v>55.4</v>
      </c>
      <c r="I17">
        <v>44.5</v>
      </c>
      <c r="J17">
        <v>0</v>
      </c>
      <c r="K17">
        <v>0</v>
      </c>
      <c r="L17">
        <v>20.841999999999999</v>
      </c>
      <c r="M17">
        <f t="shared" si="0"/>
        <v>19.28</v>
      </c>
      <c r="N17">
        <f t="shared" si="1"/>
        <v>-1.5619999999999976</v>
      </c>
      <c r="O17">
        <f t="shared" si="6"/>
        <v>10.460241170867285</v>
      </c>
      <c r="P17">
        <f t="shared" si="7"/>
        <v>8.9432374726642241</v>
      </c>
      <c r="Q17">
        <f t="shared" si="2"/>
        <v>8.0241170867283884E-2</v>
      </c>
      <c r="R17">
        <f t="shared" si="8"/>
        <v>36.397395105399973</v>
      </c>
      <c r="S17">
        <f t="shared" si="3"/>
        <v>4.3237472664223731E-2</v>
      </c>
      <c r="T17">
        <f t="shared" si="9"/>
        <v>19.612517600491884</v>
      </c>
      <c r="U17">
        <f t="shared" si="10"/>
        <v>19.403478643531507</v>
      </c>
      <c r="V17">
        <f t="shared" si="11"/>
        <v>0.12347864353150584</v>
      </c>
      <c r="W17">
        <f t="shared" si="4"/>
        <v>11.546467999999999</v>
      </c>
      <c r="X17">
        <f t="shared" si="5"/>
        <v>9.2746899999999997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LoadCalibration_2026-29-05_1540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 M Milliren</cp:lastModifiedBy>
  <dcterms:created xsi:type="dcterms:W3CDTF">2026-05-29T20:49:06Z</dcterms:created>
  <dcterms:modified xsi:type="dcterms:W3CDTF">2026-05-29T21:04:42Z</dcterms:modified>
</cp:coreProperties>
</file>