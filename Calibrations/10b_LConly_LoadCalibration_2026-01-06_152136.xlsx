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li079\Documents\GitHub\SAFL-Mesocosms\"/>
    </mc:Choice>
  </mc:AlternateContent>
  <xr:revisionPtr revIDLastSave="0" documentId="13_ncr:9_{6F3DA490-829B-4315-99D9-952E1E6CB681}" xr6:coauthVersionLast="47" xr6:coauthVersionMax="47" xr10:uidLastSave="{00000000-0000-0000-0000-000000000000}"/>
  <bookViews>
    <workbookView xWindow="-120" yWindow="-120" windowWidth="29040" windowHeight="17520" xr2:uid="{C0FDD35C-F64B-43AE-9D2D-F5A1E5A7FCBD}"/>
  </bookViews>
  <sheets>
    <sheet name="LoadCalibration_2026-01-06_1521" sheetId="1" r:id="rId1"/>
  </sheets>
  <calcPr calcId="0"/>
</workbook>
</file>

<file path=xl/calcChain.xml><?xml version="1.0" encoding="utf-8"?>
<calcChain xmlns="http://schemas.openxmlformats.org/spreadsheetml/2006/main">
  <c r="G46" i="1" l="1"/>
  <c r="G45" i="1"/>
  <c r="G44" i="1"/>
  <c r="D46" i="1"/>
  <c r="D45" i="1"/>
  <c r="D44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28" i="1"/>
  <c r="B28" i="1"/>
  <c r="B43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8" i="1"/>
  <c r="N9" i="1"/>
  <c r="N10" i="1"/>
  <c r="N11" i="1"/>
  <c r="N12" i="1"/>
  <c r="N13" i="1"/>
  <c r="P13" i="1" s="1"/>
  <c r="C33" i="1" s="1"/>
  <c r="N14" i="1"/>
  <c r="P14" i="1" s="1"/>
  <c r="C34" i="1" s="1"/>
  <c r="N15" i="1"/>
  <c r="P15" i="1" s="1"/>
  <c r="C35" i="1" s="1"/>
  <c r="N16" i="1"/>
  <c r="P16" i="1" s="1"/>
  <c r="C36" i="1" s="1"/>
  <c r="N17" i="1"/>
  <c r="N18" i="1"/>
  <c r="N19" i="1"/>
  <c r="N20" i="1"/>
  <c r="N21" i="1"/>
  <c r="P21" i="1" s="1"/>
  <c r="C41" i="1" s="1"/>
  <c r="N22" i="1"/>
  <c r="P22" i="1" s="1"/>
  <c r="C42" i="1" s="1"/>
  <c r="N23" i="1"/>
  <c r="P23" i="1" s="1"/>
  <c r="C43" i="1" s="1"/>
  <c r="N8" i="1"/>
  <c r="P8" i="1" s="1"/>
  <c r="C28" i="1" s="1"/>
  <c r="E5" i="1"/>
  <c r="D5" i="1"/>
  <c r="P20" i="1" l="1"/>
  <c r="C40" i="1" s="1"/>
  <c r="P12" i="1"/>
  <c r="C32" i="1" s="1"/>
  <c r="P19" i="1"/>
  <c r="C39" i="1" s="1"/>
  <c r="P11" i="1"/>
  <c r="C31" i="1" s="1"/>
  <c r="P17" i="1"/>
  <c r="C37" i="1" s="1"/>
  <c r="P9" i="1"/>
  <c r="C29" i="1" s="1"/>
  <c r="Q17" i="1"/>
  <c r="F37" i="1" s="1"/>
  <c r="Q9" i="1"/>
  <c r="F29" i="1" s="1"/>
  <c r="Q8" i="1"/>
  <c r="F28" i="1" s="1"/>
  <c r="Q16" i="1"/>
  <c r="F36" i="1" s="1"/>
  <c r="Q23" i="1"/>
  <c r="F43" i="1" s="1"/>
  <c r="Q15" i="1"/>
  <c r="F35" i="1" s="1"/>
  <c r="Q22" i="1"/>
  <c r="F42" i="1" s="1"/>
  <c r="Q14" i="1"/>
  <c r="F34" i="1" s="1"/>
  <c r="Q21" i="1"/>
  <c r="F41" i="1" s="1"/>
  <c r="Q13" i="1"/>
  <c r="F33" i="1" s="1"/>
  <c r="Q20" i="1"/>
  <c r="F40" i="1" s="1"/>
  <c r="Q12" i="1"/>
  <c r="F32" i="1" s="1"/>
  <c r="Q19" i="1"/>
  <c r="F39" i="1" s="1"/>
  <c r="Q11" i="1"/>
  <c r="F31" i="1" s="1"/>
  <c r="P18" i="1"/>
  <c r="C38" i="1" s="1"/>
  <c r="P10" i="1"/>
  <c r="C30" i="1" s="1"/>
  <c r="Q18" i="1"/>
  <c r="F38" i="1" s="1"/>
  <c r="Q10" i="1"/>
  <c r="F30" i="1" s="1"/>
</calcChain>
</file>

<file path=xl/sharedStrings.xml><?xml version="1.0" encoding="utf-8"?>
<sst xmlns="http://schemas.openxmlformats.org/spreadsheetml/2006/main" count="65" uniqueCount="38">
  <si>
    <t>Timestamp</t>
  </si>
  <si>
    <t>Bucket 1</t>
  </si>
  <si>
    <t>Bucket2</t>
  </si>
  <si>
    <t>Ch1</t>
  </si>
  <si>
    <t>Ch2</t>
  </si>
  <si>
    <t>Ch3</t>
  </si>
  <si>
    <t>Ch4</t>
  </si>
  <si>
    <t>Gross Weight</t>
  </si>
  <si>
    <t>lbs</t>
  </si>
  <si>
    <t>mV</t>
  </si>
  <si>
    <t>%</t>
  </si>
  <si>
    <t>Ch1 mV/V</t>
  </si>
  <si>
    <t>Ch2 mV/V</t>
  </si>
  <si>
    <t>Vx</t>
  </si>
  <si>
    <t>FS Load</t>
  </si>
  <si>
    <t>Slope</t>
  </si>
  <si>
    <t>Ch1_Zeroed</t>
  </si>
  <si>
    <t>Ch2_Zeroed</t>
  </si>
  <si>
    <t>Ch1_Load</t>
  </si>
  <si>
    <t>Lbs</t>
  </si>
  <si>
    <t>Ch2_Load</t>
  </si>
  <si>
    <t>Bucket 2</t>
  </si>
  <si>
    <t>Diff</t>
  </si>
  <si>
    <t>mL equiv</t>
  </si>
  <si>
    <t>Load Cell 1:</t>
  </si>
  <si>
    <t>Interface</t>
  </si>
  <si>
    <t>SN: E34082</t>
  </si>
  <si>
    <t xml:space="preserve">Max Load: </t>
  </si>
  <si>
    <t>10Lbs</t>
  </si>
  <si>
    <t>Load Cell 2:</t>
  </si>
  <si>
    <t>SN: 169914</t>
  </si>
  <si>
    <t>Mean</t>
  </si>
  <si>
    <t>Min</t>
  </si>
  <si>
    <t>Max</t>
  </si>
  <si>
    <t>Transmitter</t>
  </si>
  <si>
    <t>Laumas TLB4</t>
  </si>
  <si>
    <t>SN: 628260040</t>
  </si>
  <si>
    <t>Modbus TCP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</si>
</sst>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22" fontId="0" fillId="0" borderId="0" xfId="0" applyNumberFormat="1"/>
    <xf numFmtId="2" fontId="0" fillId="0" borderId="0" xfId="0" applyNumberFormat="1"/>
    <xf numFmtId="167" fontId="0" fillId="0" borderId="0" xfId="0" applyNumberFormat="1"/>
    <xf numFmtId="0" fontId="0" fillId="33" borderId="0" xfId="0" applyFill="1"/>
    <xf numFmtId="2" fontId="0" fillId="33" borderId="0" xfId="0" applyNumberFormat="1" applyFill="1"/>
    <xf numFmtId="167" fontId="0" fillId="0" borderId="10" xfId="0" applyNumberFormat="1" applyBorder="1"/>
    <xf numFmtId="167" fontId="0" fillId="0" borderId="11" xfId="0" applyNumberFormat="1" applyBorder="1"/>
    <xf numFmtId="0" fontId="18" fillId="0" borderId="12" xfId="0" applyFont="1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5B4A5-8BBE-4AB5-AD2B-523AEC94F638}">
  <dimension ref="A1:Q46"/>
  <sheetViews>
    <sheetView tabSelected="1" workbookViewId="0">
      <selection activeCell="J4" sqref="J4"/>
    </sheetView>
  </sheetViews>
  <sheetFormatPr defaultRowHeight="15" x14ac:dyDescent="0.25"/>
  <cols>
    <col min="1" max="1" width="13.5703125" bestFit="1" customWidth="1"/>
    <col min="2" max="3" width="11.5703125" bestFit="1" customWidth="1"/>
    <col min="4" max="4" width="8.85546875" customWidth="1"/>
    <col min="5" max="5" width="11.5703125" bestFit="1" customWidth="1"/>
    <col min="7" max="7" width="11" bestFit="1" customWidth="1"/>
    <col min="9" max="9" width="10.42578125" bestFit="1" customWidth="1"/>
    <col min="10" max="10" width="10.28515625" bestFit="1" customWidth="1"/>
  </cols>
  <sheetData>
    <row r="1" spans="1:17" x14ac:dyDescent="0.25">
      <c r="D1" t="s">
        <v>11</v>
      </c>
      <c r="E1" t="s">
        <v>12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</row>
    <row r="2" spans="1:17" x14ac:dyDescent="0.25">
      <c r="D2">
        <v>3.1949999999999998</v>
      </c>
      <c r="E2">
        <v>3.3029999999999999</v>
      </c>
      <c r="G2" t="s">
        <v>29</v>
      </c>
      <c r="H2" t="s">
        <v>25</v>
      </c>
      <c r="I2" t="s">
        <v>30</v>
      </c>
      <c r="J2" t="s">
        <v>27</v>
      </c>
      <c r="K2" t="s">
        <v>28</v>
      </c>
    </row>
    <row r="3" spans="1:17" x14ac:dyDescent="0.25">
      <c r="C3" t="s">
        <v>13</v>
      </c>
      <c r="D3">
        <v>4.9729999999999999</v>
      </c>
      <c r="E3">
        <v>4.9729999999999999</v>
      </c>
      <c r="G3" t="s">
        <v>34</v>
      </c>
      <c r="H3" t="s">
        <v>35</v>
      </c>
      <c r="I3" t="s">
        <v>36</v>
      </c>
      <c r="J3" t="s">
        <v>37</v>
      </c>
    </row>
    <row r="4" spans="1:17" x14ac:dyDescent="0.25">
      <c r="C4" t="s">
        <v>14</v>
      </c>
      <c r="D4">
        <v>10</v>
      </c>
      <c r="E4">
        <v>10</v>
      </c>
    </row>
    <row r="5" spans="1:17" x14ac:dyDescent="0.25">
      <c r="C5" t="s">
        <v>15</v>
      </c>
      <c r="D5">
        <f>10/(D2*D3)</f>
        <v>0.6293767250822675</v>
      </c>
      <c r="E5">
        <f>10/(E2*E3)</f>
        <v>0.60879764960273819</v>
      </c>
    </row>
    <row r="6" spans="1:17" x14ac:dyDescent="0.25">
      <c r="A6" t="s">
        <v>0</v>
      </c>
      <c r="B6" s="4" t="s">
        <v>1</v>
      </c>
      <c r="C6" s="4" t="s">
        <v>2</v>
      </c>
      <c r="D6" t="s">
        <v>3</v>
      </c>
      <c r="E6" t="s">
        <v>4</v>
      </c>
      <c r="F6" t="s">
        <v>5</v>
      </c>
      <c r="G6" t="s">
        <v>6</v>
      </c>
      <c r="H6" t="s">
        <v>3</v>
      </c>
      <c r="I6" t="s">
        <v>4</v>
      </c>
      <c r="J6" t="s">
        <v>5</v>
      </c>
      <c r="K6" t="s">
        <v>6</v>
      </c>
      <c r="L6" t="s">
        <v>7</v>
      </c>
      <c r="N6" t="s">
        <v>16</v>
      </c>
      <c r="O6" t="s">
        <v>17</v>
      </c>
      <c r="P6" s="4" t="s">
        <v>18</v>
      </c>
      <c r="Q6" s="4" t="s">
        <v>20</v>
      </c>
    </row>
    <row r="7" spans="1:17" x14ac:dyDescent="0.25">
      <c r="B7" s="4" t="s">
        <v>8</v>
      </c>
      <c r="C7" s="4" t="s">
        <v>8</v>
      </c>
      <c r="D7" t="s">
        <v>9</v>
      </c>
      <c r="E7" t="s">
        <v>9</v>
      </c>
      <c r="F7" t="s">
        <v>9</v>
      </c>
      <c r="G7" t="s">
        <v>9</v>
      </c>
      <c r="H7" t="s">
        <v>10</v>
      </c>
      <c r="I7" t="s">
        <v>10</v>
      </c>
      <c r="J7" t="s">
        <v>10</v>
      </c>
      <c r="K7" t="s">
        <v>10</v>
      </c>
      <c r="L7" t="s">
        <v>8</v>
      </c>
      <c r="N7" t="s">
        <v>9</v>
      </c>
      <c r="O7" t="s">
        <v>9</v>
      </c>
      <c r="P7" s="4" t="s">
        <v>19</v>
      </c>
      <c r="Q7" s="4" t="s">
        <v>19</v>
      </c>
    </row>
    <row r="8" spans="1:17" x14ac:dyDescent="0.25">
      <c r="A8" s="1">
        <v>46028.640057870369</v>
      </c>
      <c r="B8" s="5">
        <v>0</v>
      </c>
      <c r="C8" s="5">
        <v>0</v>
      </c>
      <c r="D8">
        <v>0.72</v>
      </c>
      <c r="E8">
        <v>-0.79</v>
      </c>
      <c r="F8">
        <v>0</v>
      </c>
      <c r="G8">
        <v>0</v>
      </c>
      <c r="H8">
        <v>47.9</v>
      </c>
      <c r="I8">
        <v>6501.6</v>
      </c>
      <c r="J8">
        <v>0</v>
      </c>
      <c r="K8">
        <v>0</v>
      </c>
      <c r="L8">
        <v>-4.2000000000000003E-2</v>
      </c>
      <c r="N8" s="2">
        <f>D8-D$8</f>
        <v>0</v>
      </c>
      <c r="O8" s="2">
        <f>E8-E$8</f>
        <v>0</v>
      </c>
      <c r="P8" s="5">
        <f>N8*D$5</f>
        <v>0</v>
      </c>
      <c r="Q8" s="5">
        <f>O8*E$5</f>
        <v>0</v>
      </c>
    </row>
    <row r="9" spans="1:17" x14ac:dyDescent="0.25">
      <c r="A9" s="1">
        <v>46028.640486111108</v>
      </c>
      <c r="B9" s="5">
        <v>1.77</v>
      </c>
      <c r="C9" s="5">
        <v>1.7</v>
      </c>
      <c r="D9">
        <v>3.56</v>
      </c>
      <c r="E9">
        <v>2.02</v>
      </c>
      <c r="F9">
        <v>0</v>
      </c>
      <c r="G9">
        <v>0</v>
      </c>
      <c r="H9">
        <v>63.8</v>
      </c>
      <c r="I9">
        <v>36.1</v>
      </c>
      <c r="J9">
        <v>0</v>
      </c>
      <c r="K9">
        <v>0</v>
      </c>
      <c r="L9">
        <v>3.71</v>
      </c>
      <c r="N9" s="2">
        <f t="shared" ref="N9:N23" si="0">D9-D$8</f>
        <v>2.84</v>
      </c>
      <c r="O9" s="2">
        <f t="shared" ref="O9:O23" si="1">E9-E$8</f>
        <v>2.81</v>
      </c>
      <c r="P9" s="5">
        <f t="shared" ref="P9:P23" si="2">N9*D$5</f>
        <v>1.7874298992336397</v>
      </c>
      <c r="Q9" s="5">
        <f t="shared" ref="Q9:Q23" si="3">O9*E$5</f>
        <v>1.7107213953836944</v>
      </c>
    </row>
    <row r="10" spans="1:17" x14ac:dyDescent="0.25">
      <c r="A10" s="1">
        <v>46028.641331018516</v>
      </c>
      <c r="B10" s="5">
        <v>3.28</v>
      </c>
      <c r="C10" s="5">
        <v>3.5</v>
      </c>
      <c r="D10">
        <v>5.95</v>
      </c>
      <c r="E10">
        <v>5</v>
      </c>
      <c r="F10">
        <v>0</v>
      </c>
      <c r="G10">
        <v>0</v>
      </c>
      <c r="H10">
        <v>54.4</v>
      </c>
      <c r="I10">
        <v>45.5</v>
      </c>
      <c r="J10">
        <v>0</v>
      </c>
      <c r="K10">
        <v>0</v>
      </c>
      <c r="L10">
        <v>7.3040000000000003</v>
      </c>
      <c r="N10" s="2">
        <f t="shared" si="0"/>
        <v>5.23</v>
      </c>
      <c r="O10" s="2">
        <f t="shared" si="1"/>
        <v>5.79</v>
      </c>
      <c r="P10" s="5">
        <f t="shared" si="2"/>
        <v>3.2916402721802593</v>
      </c>
      <c r="Q10" s="5">
        <f t="shared" si="3"/>
        <v>3.524938391199854</v>
      </c>
    </row>
    <row r="11" spans="1:17" x14ac:dyDescent="0.25">
      <c r="A11" s="1">
        <v>46028.642268518517</v>
      </c>
      <c r="B11" s="5">
        <v>4.88</v>
      </c>
      <c r="C11" s="5">
        <v>4.68</v>
      </c>
      <c r="D11">
        <v>8.52</v>
      </c>
      <c r="E11">
        <v>6.92</v>
      </c>
      <c r="F11">
        <v>0</v>
      </c>
      <c r="G11">
        <v>0</v>
      </c>
      <c r="H11">
        <v>55.1</v>
      </c>
      <c r="I11">
        <v>44.8</v>
      </c>
      <c r="J11">
        <v>0</v>
      </c>
      <c r="K11">
        <v>0</v>
      </c>
      <c r="L11">
        <v>10.308</v>
      </c>
      <c r="N11" s="2">
        <f t="shared" si="0"/>
        <v>7.8</v>
      </c>
      <c r="O11" s="2">
        <f t="shared" si="1"/>
        <v>7.71</v>
      </c>
      <c r="P11" s="5">
        <f t="shared" si="2"/>
        <v>4.9091384556416866</v>
      </c>
      <c r="Q11" s="5">
        <f t="shared" si="3"/>
        <v>4.6938298784371115</v>
      </c>
    </row>
    <row r="12" spans="1:17" x14ac:dyDescent="0.25">
      <c r="A12" s="1">
        <v>46028.64298611111</v>
      </c>
      <c r="B12" s="5">
        <v>5.95</v>
      </c>
      <c r="C12" s="5">
        <v>5.96</v>
      </c>
      <c r="D12">
        <v>10.23</v>
      </c>
      <c r="E12">
        <v>9.0399999999999991</v>
      </c>
      <c r="F12">
        <v>0</v>
      </c>
      <c r="G12">
        <v>0</v>
      </c>
      <c r="H12">
        <v>53</v>
      </c>
      <c r="I12">
        <v>46.9</v>
      </c>
      <c r="J12">
        <v>0</v>
      </c>
      <c r="K12">
        <v>0</v>
      </c>
      <c r="L12">
        <v>12.846</v>
      </c>
      <c r="N12" s="2">
        <f t="shared" si="0"/>
        <v>9.51</v>
      </c>
      <c r="O12" s="2">
        <f t="shared" si="1"/>
        <v>9.8299999999999983</v>
      </c>
      <c r="P12" s="5">
        <f t="shared" si="2"/>
        <v>5.9853726555323634</v>
      </c>
      <c r="Q12" s="5">
        <f t="shared" si="3"/>
        <v>5.9844808955949151</v>
      </c>
    </row>
    <row r="13" spans="1:17" x14ac:dyDescent="0.25">
      <c r="A13" s="1">
        <v>46028.643738425926</v>
      </c>
      <c r="B13" s="5">
        <v>7.01</v>
      </c>
      <c r="C13" s="5">
        <v>7.2</v>
      </c>
      <c r="D13">
        <v>12.03</v>
      </c>
      <c r="E13">
        <v>11.03</v>
      </c>
      <c r="F13">
        <v>0</v>
      </c>
      <c r="G13">
        <v>0</v>
      </c>
      <c r="H13">
        <v>51.7</v>
      </c>
      <c r="I13">
        <v>48.2</v>
      </c>
      <c r="J13">
        <v>0</v>
      </c>
      <c r="K13">
        <v>0</v>
      </c>
      <c r="L13">
        <v>15.346</v>
      </c>
      <c r="N13" s="2">
        <f t="shared" si="0"/>
        <v>11.309999999999999</v>
      </c>
      <c r="O13" s="2">
        <f t="shared" si="1"/>
        <v>11.82</v>
      </c>
      <c r="P13" s="5">
        <f t="shared" si="2"/>
        <v>7.1182507606804446</v>
      </c>
      <c r="Q13" s="5">
        <f t="shared" si="3"/>
        <v>7.1959882183043655</v>
      </c>
    </row>
    <row r="14" spans="1:17" x14ac:dyDescent="0.25">
      <c r="A14" s="1">
        <v>46028.644432870373</v>
      </c>
      <c r="B14" s="5">
        <v>8.3800000000000008</v>
      </c>
      <c r="C14" s="5">
        <v>8.5</v>
      </c>
      <c r="D14">
        <v>14.07</v>
      </c>
      <c r="E14">
        <v>13.25</v>
      </c>
      <c r="F14">
        <v>0</v>
      </c>
      <c r="G14">
        <v>0</v>
      </c>
      <c r="H14">
        <v>51.5</v>
      </c>
      <c r="I14">
        <v>48.4</v>
      </c>
      <c r="J14">
        <v>0</v>
      </c>
      <c r="K14">
        <v>0</v>
      </c>
      <c r="L14">
        <v>18.231999999999999</v>
      </c>
      <c r="N14" s="2">
        <f t="shared" si="0"/>
        <v>13.35</v>
      </c>
      <c r="O14" s="2">
        <f t="shared" si="1"/>
        <v>14.04</v>
      </c>
      <c r="P14" s="5">
        <f t="shared" si="2"/>
        <v>8.4021792798482711</v>
      </c>
      <c r="Q14" s="5">
        <f t="shared" si="3"/>
        <v>8.5475190004224437</v>
      </c>
    </row>
    <row r="15" spans="1:17" x14ac:dyDescent="0.25">
      <c r="A15" s="1">
        <v>46028.645277777781</v>
      </c>
      <c r="B15" s="5">
        <v>9.75</v>
      </c>
      <c r="C15" s="5">
        <v>9.9499999999999993</v>
      </c>
      <c r="D15">
        <v>16.309999999999999</v>
      </c>
      <c r="E15">
        <v>15.6</v>
      </c>
      <c r="F15">
        <v>0</v>
      </c>
      <c r="G15">
        <v>0</v>
      </c>
      <c r="H15">
        <v>51</v>
      </c>
      <c r="I15">
        <v>48.9</v>
      </c>
      <c r="J15">
        <v>0</v>
      </c>
      <c r="K15">
        <v>0</v>
      </c>
      <c r="L15">
        <v>21.288</v>
      </c>
      <c r="N15" s="2">
        <f t="shared" si="0"/>
        <v>15.589999999999998</v>
      </c>
      <c r="O15" s="2">
        <f t="shared" si="1"/>
        <v>16.39</v>
      </c>
      <c r="P15" s="5">
        <f t="shared" si="2"/>
        <v>9.8119831440325491</v>
      </c>
      <c r="Q15" s="5">
        <f t="shared" si="3"/>
        <v>9.9781934769888796</v>
      </c>
    </row>
    <row r="16" spans="1:17" x14ac:dyDescent="0.25">
      <c r="A16" s="1">
        <v>46028.646319444444</v>
      </c>
      <c r="B16" s="5">
        <v>7.98</v>
      </c>
      <c r="C16" s="5">
        <v>8.3000000000000007</v>
      </c>
      <c r="D16">
        <v>13.46</v>
      </c>
      <c r="E16">
        <v>12.87</v>
      </c>
      <c r="F16">
        <v>0</v>
      </c>
      <c r="G16">
        <v>0</v>
      </c>
      <c r="H16">
        <v>51</v>
      </c>
      <c r="I16">
        <v>48.9</v>
      </c>
      <c r="J16">
        <v>0</v>
      </c>
      <c r="K16">
        <v>0</v>
      </c>
      <c r="L16">
        <v>17.59</v>
      </c>
      <c r="N16" s="2">
        <f t="shared" si="0"/>
        <v>12.74</v>
      </c>
      <c r="O16" s="2">
        <f t="shared" si="1"/>
        <v>13.66</v>
      </c>
      <c r="P16" s="5">
        <f t="shared" si="2"/>
        <v>8.0182594775480887</v>
      </c>
      <c r="Q16" s="5">
        <f t="shared" si="3"/>
        <v>8.3161758935734031</v>
      </c>
    </row>
    <row r="17" spans="1:17" x14ac:dyDescent="0.25">
      <c r="A17" s="1">
        <v>46028.647280092591</v>
      </c>
      <c r="B17" s="5">
        <v>6.62</v>
      </c>
      <c r="C17" s="5">
        <v>7.7</v>
      </c>
      <c r="D17">
        <v>11.28</v>
      </c>
      <c r="E17">
        <v>11.88</v>
      </c>
      <c r="F17">
        <v>0</v>
      </c>
      <c r="G17">
        <v>0</v>
      </c>
      <c r="H17">
        <v>48.7</v>
      </c>
      <c r="I17">
        <v>51.2</v>
      </c>
      <c r="J17">
        <v>0</v>
      </c>
      <c r="K17">
        <v>0</v>
      </c>
      <c r="L17">
        <v>15.474</v>
      </c>
      <c r="N17" s="2">
        <f t="shared" si="0"/>
        <v>10.559999999999999</v>
      </c>
      <c r="O17" s="2">
        <f t="shared" si="1"/>
        <v>12.670000000000002</v>
      </c>
      <c r="P17" s="5">
        <f t="shared" si="2"/>
        <v>6.6462182168687436</v>
      </c>
      <c r="Q17" s="5">
        <f t="shared" si="3"/>
        <v>7.7134662204666942</v>
      </c>
    </row>
    <row r="18" spans="1:17" x14ac:dyDescent="0.25">
      <c r="A18" s="1">
        <v>46028.648032407407</v>
      </c>
      <c r="B18" s="5">
        <v>5.85</v>
      </c>
      <c r="C18" s="5">
        <v>7.06</v>
      </c>
      <c r="D18">
        <v>10.06</v>
      </c>
      <c r="E18">
        <v>10.86</v>
      </c>
      <c r="F18">
        <v>0</v>
      </c>
      <c r="G18">
        <v>0</v>
      </c>
      <c r="H18">
        <v>48.1</v>
      </c>
      <c r="I18">
        <v>51.8</v>
      </c>
      <c r="J18">
        <v>0</v>
      </c>
      <c r="K18">
        <v>0</v>
      </c>
      <c r="L18">
        <v>13.962</v>
      </c>
      <c r="N18" s="2">
        <f t="shared" si="0"/>
        <v>9.34</v>
      </c>
      <c r="O18" s="2">
        <f t="shared" si="1"/>
        <v>11.649999999999999</v>
      </c>
      <c r="P18" s="5">
        <f t="shared" si="2"/>
        <v>5.8783786122683788</v>
      </c>
      <c r="Q18" s="5">
        <f t="shared" si="3"/>
        <v>7.0924926178718994</v>
      </c>
    </row>
    <row r="19" spans="1:17" x14ac:dyDescent="0.25">
      <c r="A19" s="1">
        <v>46028.648877314816</v>
      </c>
      <c r="B19" s="5">
        <v>4.1100000000000003</v>
      </c>
      <c r="C19" s="5">
        <v>5.33</v>
      </c>
      <c r="D19">
        <v>7.28</v>
      </c>
      <c r="E19">
        <v>8.01</v>
      </c>
      <c r="F19">
        <v>0</v>
      </c>
      <c r="G19">
        <v>0</v>
      </c>
      <c r="H19">
        <v>47.6</v>
      </c>
      <c r="I19">
        <v>52.3</v>
      </c>
      <c r="J19">
        <v>0</v>
      </c>
      <c r="K19">
        <v>0</v>
      </c>
      <c r="L19">
        <v>10.204000000000001</v>
      </c>
      <c r="N19" s="2">
        <f t="shared" si="0"/>
        <v>6.5600000000000005</v>
      </c>
      <c r="O19" s="2">
        <f t="shared" si="1"/>
        <v>8.8000000000000007</v>
      </c>
      <c r="P19" s="5">
        <f t="shared" si="2"/>
        <v>4.1287113165396754</v>
      </c>
      <c r="Q19" s="5">
        <f t="shared" si="3"/>
        <v>5.3574193165040969</v>
      </c>
    </row>
    <row r="20" spans="1:17" x14ac:dyDescent="0.25">
      <c r="A20" s="1">
        <v>46028.649502314816</v>
      </c>
      <c r="B20" s="5">
        <v>3.22</v>
      </c>
      <c r="C20" s="5">
        <v>3.82</v>
      </c>
      <c r="D20">
        <v>5.87</v>
      </c>
      <c r="E20">
        <v>5.52</v>
      </c>
      <c r="F20">
        <v>0</v>
      </c>
      <c r="G20">
        <v>0</v>
      </c>
      <c r="H20">
        <v>51.5</v>
      </c>
      <c r="I20">
        <v>48.4</v>
      </c>
      <c r="J20">
        <v>0</v>
      </c>
      <c r="K20">
        <v>0</v>
      </c>
      <c r="L20">
        <v>7.5919999999999996</v>
      </c>
      <c r="N20" s="2">
        <f t="shared" si="0"/>
        <v>5.15</v>
      </c>
      <c r="O20" s="2">
        <f t="shared" si="1"/>
        <v>6.31</v>
      </c>
      <c r="P20" s="5">
        <f t="shared" si="2"/>
        <v>3.2412901341736777</v>
      </c>
      <c r="Q20" s="5">
        <f t="shared" si="3"/>
        <v>3.8415131689932775</v>
      </c>
    </row>
    <row r="21" spans="1:17" x14ac:dyDescent="0.25">
      <c r="A21" s="1">
        <v>46028.650150462963</v>
      </c>
      <c r="B21" s="5">
        <v>2.42</v>
      </c>
      <c r="C21" s="5">
        <v>2.59</v>
      </c>
      <c r="D21">
        <v>4.59</v>
      </c>
      <c r="E21">
        <v>3.48</v>
      </c>
      <c r="F21">
        <v>0</v>
      </c>
      <c r="G21">
        <v>0</v>
      </c>
      <c r="H21">
        <v>56.8</v>
      </c>
      <c r="I21">
        <v>43.1</v>
      </c>
      <c r="J21">
        <v>0</v>
      </c>
      <c r="K21">
        <v>0</v>
      </c>
      <c r="L21">
        <v>5.3840000000000003</v>
      </c>
      <c r="N21" s="2">
        <f t="shared" si="0"/>
        <v>3.87</v>
      </c>
      <c r="O21" s="2">
        <f t="shared" si="1"/>
        <v>4.2699999999999996</v>
      </c>
      <c r="P21" s="5">
        <f t="shared" si="2"/>
        <v>2.4356879260683755</v>
      </c>
      <c r="Q21" s="5">
        <f t="shared" si="3"/>
        <v>2.5995659638036916</v>
      </c>
    </row>
    <row r="22" spans="1:17" x14ac:dyDescent="0.25">
      <c r="A22" s="1">
        <v>46028.650925925926</v>
      </c>
      <c r="B22" s="5">
        <v>1.77</v>
      </c>
      <c r="C22" s="5">
        <v>1.7</v>
      </c>
      <c r="D22">
        <v>3.56</v>
      </c>
      <c r="E22">
        <v>2.0099999999999998</v>
      </c>
      <c r="F22">
        <v>0</v>
      </c>
      <c r="G22">
        <v>0</v>
      </c>
      <c r="H22">
        <v>63.8</v>
      </c>
      <c r="I22">
        <v>36.1</v>
      </c>
      <c r="J22">
        <v>0</v>
      </c>
      <c r="K22">
        <v>0</v>
      </c>
      <c r="L22">
        <v>3.714</v>
      </c>
      <c r="N22" s="2">
        <f t="shared" si="0"/>
        <v>2.84</v>
      </c>
      <c r="O22" s="2">
        <f t="shared" si="1"/>
        <v>2.8</v>
      </c>
      <c r="P22" s="5">
        <f t="shared" si="2"/>
        <v>1.7874298992336397</v>
      </c>
      <c r="Q22" s="5">
        <f t="shared" si="3"/>
        <v>1.7046334188876668</v>
      </c>
    </row>
    <row r="23" spans="1:17" x14ac:dyDescent="0.25">
      <c r="A23" s="1">
        <v>46028.652777777781</v>
      </c>
      <c r="B23" s="5">
        <v>0</v>
      </c>
      <c r="C23" s="5">
        <v>0</v>
      </c>
      <c r="D23">
        <v>0.72</v>
      </c>
      <c r="E23">
        <v>-0.78</v>
      </c>
      <c r="F23">
        <v>0</v>
      </c>
      <c r="G23">
        <v>0</v>
      </c>
      <c r="H23">
        <v>48.1</v>
      </c>
      <c r="I23">
        <v>6501.8</v>
      </c>
      <c r="J23">
        <v>0</v>
      </c>
      <c r="K23">
        <v>0</v>
      </c>
      <c r="L23">
        <v>-3.7999999999999999E-2</v>
      </c>
      <c r="N23" s="2">
        <f t="shared" si="0"/>
        <v>0</v>
      </c>
      <c r="O23" s="2">
        <f t="shared" si="1"/>
        <v>1.0000000000000009E-2</v>
      </c>
      <c r="P23" s="5">
        <f t="shared" si="2"/>
        <v>0</v>
      </c>
      <c r="Q23" s="5">
        <f t="shared" si="3"/>
        <v>6.0879764960273877E-3</v>
      </c>
    </row>
    <row r="25" spans="1:17" ht="15.75" thickBot="1" x14ac:dyDescent="0.3"/>
    <row r="26" spans="1:17" x14ac:dyDescent="0.25">
      <c r="B26" s="8" t="s">
        <v>1</v>
      </c>
      <c r="C26" s="9" t="s">
        <v>3</v>
      </c>
      <c r="D26" s="9" t="s">
        <v>22</v>
      </c>
      <c r="E26" s="9" t="s">
        <v>21</v>
      </c>
      <c r="F26" s="9" t="s">
        <v>4</v>
      </c>
      <c r="G26" s="10" t="s">
        <v>22</v>
      </c>
    </row>
    <row r="27" spans="1:17" ht="15.75" thickBot="1" x14ac:dyDescent="0.3">
      <c r="B27" s="11" t="s">
        <v>23</v>
      </c>
      <c r="C27" s="11" t="s">
        <v>23</v>
      </c>
      <c r="D27" s="11" t="s">
        <v>23</v>
      </c>
      <c r="E27" s="11" t="s">
        <v>23</v>
      </c>
      <c r="F27" s="11" t="s">
        <v>23</v>
      </c>
      <c r="G27" s="11" t="s">
        <v>23</v>
      </c>
    </row>
    <row r="28" spans="1:17" x14ac:dyDescent="0.25">
      <c r="B28" s="7">
        <f>B8*453.59237</f>
        <v>0</v>
      </c>
      <c r="C28" s="7">
        <f>P8*453.59237</f>
        <v>0</v>
      </c>
      <c r="D28" s="7">
        <f>C28-B28</f>
        <v>0</v>
      </c>
      <c r="E28" s="7">
        <f>C8*453.59237</f>
        <v>0</v>
      </c>
      <c r="F28" s="7">
        <f>Q8*453.59237</f>
        <v>0</v>
      </c>
      <c r="G28" s="7">
        <f>F28-E28</f>
        <v>0</v>
      </c>
    </row>
    <row r="29" spans="1:17" x14ac:dyDescent="0.25">
      <c r="B29" s="6">
        <f t="shared" ref="B29:B42" si="4">B9*453.59237</f>
        <v>802.85849489999998</v>
      </c>
      <c r="C29" s="6">
        <f t="shared" ref="C29:C43" si="5">P9*453.59237</f>
        <v>810.76456420224781</v>
      </c>
      <c r="D29" s="6">
        <f t="shared" ref="D29:D43" si="6">C29-B29</f>
        <v>7.906069302247829</v>
      </c>
      <c r="E29" s="6">
        <f>C9*453.59237</f>
        <v>771.10702900000001</v>
      </c>
      <c r="F29" s="6">
        <f>Q9*453.59237</f>
        <v>775.97017214179698</v>
      </c>
      <c r="G29" s="6">
        <f t="shared" ref="G29:G43" si="7">F29-E29</f>
        <v>4.8631431417969679</v>
      </c>
    </row>
    <row r="30" spans="1:17" x14ac:dyDescent="0.25">
      <c r="B30" s="6">
        <f t="shared" si="4"/>
        <v>1487.7829735999999</v>
      </c>
      <c r="C30" s="6">
        <f t="shared" si="5"/>
        <v>1493.0629122456889</v>
      </c>
      <c r="D30" s="6">
        <f t="shared" si="6"/>
        <v>5.2799386456890716</v>
      </c>
      <c r="E30" s="6">
        <f>C10*453.59237</f>
        <v>1587.5732950000001</v>
      </c>
      <c r="F30" s="6">
        <f>Q10*453.59237</f>
        <v>1598.8851589683291</v>
      </c>
      <c r="G30" s="6">
        <f t="shared" si="7"/>
        <v>11.311863968328908</v>
      </c>
    </row>
    <row r="31" spans="1:17" x14ac:dyDescent="0.25">
      <c r="B31" s="6">
        <f t="shared" si="4"/>
        <v>2213.5307656</v>
      </c>
      <c r="C31" s="6">
        <f t="shared" si="5"/>
        <v>2226.7477467526528</v>
      </c>
      <c r="D31" s="6">
        <f t="shared" si="6"/>
        <v>13.216981152652806</v>
      </c>
      <c r="E31" s="6">
        <f>C11*453.59237</f>
        <v>2122.8122915999998</v>
      </c>
      <c r="F31" s="6">
        <f>Q11*453.59237</f>
        <v>2129.0854189371012</v>
      </c>
      <c r="G31" s="6">
        <f t="shared" si="7"/>
        <v>6.273127337101414</v>
      </c>
    </row>
    <row r="32" spans="1:17" x14ac:dyDescent="0.25">
      <c r="B32" s="6">
        <f t="shared" si="4"/>
        <v>2698.8746015000002</v>
      </c>
      <c r="C32" s="6">
        <f t="shared" si="5"/>
        <v>2714.9193681561183</v>
      </c>
      <c r="D32" s="6">
        <f t="shared" si="6"/>
        <v>16.044766656118099</v>
      </c>
      <c r="E32" s="6">
        <f>C12*453.59237</f>
        <v>2703.4105251999999</v>
      </c>
      <c r="F32" s="6">
        <f>Q12*453.59237</f>
        <v>2714.5148726526204</v>
      </c>
      <c r="G32" s="6">
        <f t="shared" si="7"/>
        <v>11.104347452620459</v>
      </c>
    </row>
    <row r="33" spans="2:7" x14ac:dyDescent="0.25">
      <c r="B33" s="6">
        <f t="shared" si="4"/>
        <v>3179.6825137000001</v>
      </c>
      <c r="C33" s="6">
        <f t="shared" si="5"/>
        <v>3228.7842327913459</v>
      </c>
      <c r="D33" s="6">
        <f t="shared" si="6"/>
        <v>49.101719091345785</v>
      </c>
      <c r="E33" s="6">
        <f>C13*453.59237</f>
        <v>3265.8650640000001</v>
      </c>
      <c r="F33" s="6">
        <f>Q13*453.59237</f>
        <v>3264.0453504327547</v>
      </c>
      <c r="G33" s="6">
        <f t="shared" si="7"/>
        <v>-1.8197135672453442</v>
      </c>
    </row>
    <row r="34" spans="2:7" x14ac:dyDescent="0.25">
      <c r="B34" s="6">
        <f t="shared" si="4"/>
        <v>3801.1040606000006</v>
      </c>
      <c r="C34" s="6">
        <f t="shared" si="5"/>
        <v>3811.1644127112709</v>
      </c>
      <c r="D34" s="6">
        <f t="shared" si="6"/>
        <v>10.060352111270277</v>
      </c>
      <c r="E34" s="6">
        <f>C14*453.59237</f>
        <v>3855.5351450000003</v>
      </c>
      <c r="F34" s="6">
        <f>Q14*453.59237</f>
        <v>3877.0894010216475</v>
      </c>
      <c r="G34" s="6">
        <f t="shared" si="7"/>
        <v>21.554256021647234</v>
      </c>
    </row>
    <row r="35" spans="2:7" x14ac:dyDescent="0.25">
      <c r="B35" s="6">
        <f t="shared" si="4"/>
        <v>4422.5256074999998</v>
      </c>
      <c r="C35" s="6">
        <f t="shared" si="5"/>
        <v>4450.6406887017756</v>
      </c>
      <c r="D35" s="6">
        <f t="shared" si="6"/>
        <v>28.115081201775865</v>
      </c>
      <c r="E35" s="6">
        <f>C15*453.59237</f>
        <v>4513.2440815</v>
      </c>
      <c r="F35" s="6">
        <f>Q15*453.59237</f>
        <v>4526.0324275459261</v>
      </c>
      <c r="G35" s="6">
        <f t="shared" si="7"/>
        <v>12.788346045926119</v>
      </c>
    </row>
    <row r="36" spans="2:7" x14ac:dyDescent="0.25">
      <c r="B36" s="6">
        <f t="shared" si="4"/>
        <v>3619.6671126000001</v>
      </c>
      <c r="C36" s="6">
        <f t="shared" si="5"/>
        <v>3637.0213196959994</v>
      </c>
      <c r="D36" s="6">
        <f t="shared" si="6"/>
        <v>17.3542070959993</v>
      </c>
      <c r="E36" s="6">
        <f>C16*453.59237</f>
        <v>3764.8166710000005</v>
      </c>
      <c r="F36" s="6">
        <f>Q16*453.59237</f>
        <v>3772.1539329028278</v>
      </c>
      <c r="G36" s="6">
        <f t="shared" si="7"/>
        <v>7.337261902827322</v>
      </c>
    </row>
    <row r="37" spans="2:7" x14ac:dyDescent="0.25">
      <c r="B37" s="6">
        <f t="shared" si="4"/>
        <v>3002.7814894000003</v>
      </c>
      <c r="C37" s="6">
        <f t="shared" si="5"/>
        <v>3014.6738725266673</v>
      </c>
      <c r="D37" s="6">
        <f t="shared" si="6"/>
        <v>11.892383126667028</v>
      </c>
      <c r="E37" s="6">
        <f>C17*453.59237</f>
        <v>3492.6612490000002</v>
      </c>
      <c r="F37" s="6">
        <f>Q17*453.59237</f>
        <v>3498.7694238564304</v>
      </c>
      <c r="G37" s="6">
        <f t="shared" si="7"/>
        <v>6.1081748564301961</v>
      </c>
    </row>
    <row r="38" spans="2:7" x14ac:dyDescent="0.25">
      <c r="B38" s="6">
        <f t="shared" si="4"/>
        <v>2653.5153645</v>
      </c>
      <c r="C38" s="6">
        <f t="shared" si="5"/>
        <v>2666.3876864961253</v>
      </c>
      <c r="D38" s="6">
        <f t="shared" si="6"/>
        <v>12.872321996125265</v>
      </c>
      <c r="E38" s="6">
        <f>C18*453.59237</f>
        <v>3202.3621321999999</v>
      </c>
      <c r="F38" s="6">
        <f>Q18*453.59237</f>
        <v>3217.1005357480194</v>
      </c>
      <c r="G38" s="6">
        <f t="shared" si="7"/>
        <v>14.738403548019505</v>
      </c>
    </row>
    <row r="39" spans="2:7" x14ac:dyDescent="0.25">
      <c r="B39" s="6">
        <f t="shared" si="4"/>
        <v>1864.2646407000002</v>
      </c>
      <c r="C39" s="6">
        <f t="shared" si="5"/>
        <v>1872.7519511150517</v>
      </c>
      <c r="D39" s="6">
        <f t="shared" si="6"/>
        <v>8.4873104150515246</v>
      </c>
      <c r="E39" s="6">
        <f>C19*453.59237</f>
        <v>2417.6473321000003</v>
      </c>
      <c r="F39" s="6">
        <f>Q19*453.59237</f>
        <v>2430.0845248568735</v>
      </c>
      <c r="G39" s="6">
        <f t="shared" si="7"/>
        <v>12.437192756873173</v>
      </c>
    </row>
    <row r="40" spans="2:7" x14ac:dyDescent="0.25">
      <c r="B40" s="6">
        <f t="shared" si="4"/>
        <v>1460.5674314</v>
      </c>
      <c r="C40" s="6">
        <f t="shared" si="5"/>
        <v>1470.2244738174566</v>
      </c>
      <c r="D40" s="6">
        <f t="shared" si="6"/>
        <v>9.6570424174565233</v>
      </c>
      <c r="E40" s="6">
        <f>C20*453.59237</f>
        <v>1732.7228534000001</v>
      </c>
      <c r="F40" s="6">
        <f>Q20*453.59237</f>
        <v>1742.4810627098714</v>
      </c>
      <c r="G40" s="6">
        <f t="shared" si="7"/>
        <v>9.7582093098712903</v>
      </c>
    </row>
    <row r="41" spans="2:7" x14ac:dyDescent="0.25">
      <c r="B41" s="6">
        <f t="shared" si="4"/>
        <v>1097.6935354</v>
      </c>
      <c r="C41" s="6">
        <f t="shared" si="5"/>
        <v>1104.8094589657392</v>
      </c>
      <c r="D41" s="6">
        <f t="shared" si="6"/>
        <v>7.1159235657391946</v>
      </c>
      <c r="E41" s="6">
        <f>C21*453.59237</f>
        <v>1174.8042383</v>
      </c>
      <c r="F41" s="6">
        <f>Q21*453.59237</f>
        <v>1179.1432864930507</v>
      </c>
      <c r="G41" s="6">
        <f t="shared" si="7"/>
        <v>4.3390481930507576</v>
      </c>
    </row>
    <row r="42" spans="2:7" x14ac:dyDescent="0.25">
      <c r="B42" s="6">
        <f t="shared" si="4"/>
        <v>802.85849489999998</v>
      </c>
      <c r="C42" s="6">
        <f t="shared" si="5"/>
        <v>810.76456420224781</v>
      </c>
      <c r="D42" s="6">
        <f t="shared" si="6"/>
        <v>7.906069302247829</v>
      </c>
      <c r="E42" s="6">
        <f>C22*453.59237</f>
        <v>771.10702900000001</v>
      </c>
      <c r="F42" s="6">
        <f>Q22*453.59237</f>
        <v>773.2087124544596</v>
      </c>
      <c r="G42" s="6">
        <f t="shared" si="7"/>
        <v>2.1016834544595895</v>
      </c>
    </row>
    <row r="43" spans="2:7" x14ac:dyDescent="0.25">
      <c r="B43" s="6">
        <f>B23*453.59237</f>
        <v>0</v>
      </c>
      <c r="C43" s="6">
        <f t="shared" si="5"/>
        <v>0</v>
      </c>
      <c r="D43" s="6">
        <f t="shared" si="6"/>
        <v>0</v>
      </c>
      <c r="E43" s="6">
        <f>C23*453.59237</f>
        <v>0</v>
      </c>
      <c r="F43" s="6">
        <f>Q23*453.59237</f>
        <v>2.7614596873373585</v>
      </c>
      <c r="G43" s="6">
        <f t="shared" si="7"/>
        <v>2.7614596873373585</v>
      </c>
    </row>
    <row r="44" spans="2:7" x14ac:dyDescent="0.25">
      <c r="C44" t="s">
        <v>31</v>
      </c>
      <c r="D44" s="3">
        <f>AVERAGE(D28:D43)</f>
        <v>12.81313538002415</v>
      </c>
      <c r="G44" s="3">
        <f>AVERAGE(G28:G43)</f>
        <v>7.8535502568153097</v>
      </c>
    </row>
    <row r="45" spans="2:7" x14ac:dyDescent="0.25">
      <c r="C45" t="s">
        <v>32</v>
      </c>
      <c r="D45" s="3">
        <f>MIN(D29:D43)</f>
        <v>0</v>
      </c>
      <c r="G45" s="3">
        <f>MIN(G29:G43)</f>
        <v>-1.8197135672453442</v>
      </c>
    </row>
    <row r="46" spans="2:7" x14ac:dyDescent="0.25">
      <c r="C46" t="s">
        <v>33</v>
      </c>
      <c r="D46" s="3">
        <f>MAX(D28:D43)</f>
        <v>49.101719091345785</v>
      </c>
      <c r="G46" s="3">
        <f>MAX(G28:G43)</f>
        <v>21.554256021647234</v>
      </c>
    </row>
  </sheetData>
  <conditionalFormatting sqref="D28:D43 G28:G4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262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LoadCalibration_2026-01-06_1521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M Milliren</cp:lastModifiedBy>
  <dcterms:created xsi:type="dcterms:W3CDTF">2026-06-01T20:39:09Z</dcterms:created>
  <dcterms:modified xsi:type="dcterms:W3CDTF">2026-06-01T21:01:18Z</dcterms:modified>
</cp:coreProperties>
</file>