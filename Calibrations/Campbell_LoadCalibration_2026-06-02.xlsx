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i079\Documents\GitHub\SAFL-Mesocosms\Calibrations\"/>
    </mc:Choice>
  </mc:AlternateContent>
  <xr:revisionPtr revIDLastSave="0" documentId="13_ncr:1_{9C17A742-A3D8-40E8-A7E8-BA2083E6B502}" xr6:coauthVersionLast="47" xr6:coauthVersionMax="47" xr10:uidLastSave="{00000000-0000-0000-0000-000000000000}"/>
  <bookViews>
    <workbookView xWindow="-105" yWindow="0" windowWidth="14610" windowHeight="17385" xr2:uid="{54B6F59D-846F-4CC5-B95A-A39A7A6FC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0" i="1" l="1"/>
  <c r="M31" i="1"/>
  <c r="M32" i="1"/>
  <c r="M33" i="1"/>
  <c r="M34" i="1"/>
  <c r="M50" i="1" s="1"/>
  <c r="M35" i="1"/>
  <c r="M51" i="1" s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29" i="1"/>
  <c r="J51" i="1"/>
  <c r="G51" i="1"/>
  <c r="D51" i="1"/>
  <c r="J50" i="1"/>
  <c r="G50" i="1"/>
  <c r="D50" i="1"/>
  <c r="J49" i="1"/>
  <c r="G49" i="1"/>
  <c r="D4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29" i="1"/>
  <c r="N29" i="1" a="1"/>
  <c r="N29" i="1" s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30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I29" i="1"/>
  <c r="H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F29" i="1"/>
  <c r="E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29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L5" i="1"/>
  <c r="M5" i="1"/>
  <c r="K5" i="1"/>
  <c r="D29" i="1"/>
  <c r="H27" i="1"/>
  <c r="E27" i="1"/>
  <c r="B27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29" i="1"/>
  <c r="M49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<sst xmlns="http://schemas.openxmlformats.org/spreadsheetml/2006/main" count="54" uniqueCount="26">
  <si>
    <t>Bucket 1</t>
  </si>
  <si>
    <t>Bucket 2</t>
  </si>
  <si>
    <t>Bucket 3</t>
  </si>
  <si>
    <t>Ch1</t>
  </si>
  <si>
    <t>Ch2</t>
  </si>
  <si>
    <t>Ch3</t>
  </si>
  <si>
    <t>lbs</t>
  </si>
  <si>
    <t>Bucket1</t>
  </si>
  <si>
    <t>Bucket2</t>
  </si>
  <si>
    <t>Bucket3</t>
  </si>
  <si>
    <t>Target</t>
  </si>
  <si>
    <t>Ch1 Diff</t>
  </si>
  <si>
    <t>Ch2 Diff</t>
  </si>
  <si>
    <t>Ch3 Diff</t>
  </si>
  <si>
    <t>mL eqiv</t>
  </si>
  <si>
    <t>Ch1 Load</t>
  </si>
  <si>
    <t>Ch2 Load</t>
  </si>
  <si>
    <t>Ch3 Load</t>
  </si>
  <si>
    <t>Ch1 Zeroed</t>
  </si>
  <si>
    <t>Ch2 Zeroed</t>
  </si>
  <si>
    <t>Ch3 Zeroed</t>
  </si>
  <si>
    <t>Diff</t>
  </si>
  <si>
    <t>LinEst</t>
  </si>
  <si>
    <t>Mean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</si>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</sst>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3" fillId="0" borderId="6" xfId="0" applyFont="1" applyBorder="1"/>
    <xf numFmtId="0" fontId="3" fillId="0" borderId="7" xfId="0" applyFont="1" applyBorder="1"/>
    <xf numFmtId="0" fontId="1" fillId="2" borderId="7" xfId="0" applyFont="1" applyFill="1" applyBorder="1"/>
    <xf numFmtId="0" fontId="1" fillId="2" borderId="8" xfId="0" applyFont="1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5" xfId="0" applyFont="1" applyBorder="1"/>
    <xf numFmtId="0" fontId="3" fillId="0" borderId="8" xfId="0" applyFont="1" applyBorder="1"/>
    <xf numFmtId="0" fontId="1" fillId="2" borderId="9" xfId="0" applyFont="1" applyFill="1" applyBorder="1"/>
    <xf numFmtId="0" fontId="1" fillId="2" borderId="0" xfId="0" applyFont="1" applyFill="1" applyBorder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837B-A7E9-4A1E-B54F-9403D75DC696}">
  <dimension ref="B2:O51"/>
  <sheetViews>
    <sheetView tabSelected="1" topLeftCell="A18" workbookViewId="0">
      <selection activeCell="L44" sqref="L44"/>
    </sheetView>
  </sheetViews>
  <sheetFormatPr defaultRowHeight="15" x14ac:dyDescent="0.25"/>
  <cols>
    <col min="11" max="13" width="11.28515625" bestFit="1" customWidth="1"/>
  </cols>
  <sheetData>
    <row r="2" spans="2:13" ht="15.75" thickBot="1" x14ac:dyDescent="0.3">
      <c r="B2" s="1" t="s">
        <v>10</v>
      </c>
      <c r="C2" s="1"/>
      <c r="D2" s="1"/>
    </row>
    <row r="3" spans="2:13" x14ac:dyDescent="0.25">
      <c r="B3" s="4" t="s">
        <v>7</v>
      </c>
      <c r="C3" s="5" t="s">
        <v>8</v>
      </c>
      <c r="D3" s="5" t="s">
        <v>9</v>
      </c>
      <c r="E3" s="6" t="s">
        <v>0</v>
      </c>
      <c r="F3" s="6" t="s">
        <v>1</v>
      </c>
      <c r="G3" s="6" t="s">
        <v>2</v>
      </c>
      <c r="H3" s="6" t="s">
        <v>3</v>
      </c>
      <c r="I3" s="6" t="s">
        <v>4</v>
      </c>
      <c r="J3" s="7" t="s">
        <v>5</v>
      </c>
      <c r="K3" s="16" t="s">
        <v>18</v>
      </c>
      <c r="L3" s="16" t="s">
        <v>19</v>
      </c>
      <c r="M3" s="16" t="s">
        <v>20</v>
      </c>
    </row>
    <row r="4" spans="2:13" ht="15.75" thickBot="1" x14ac:dyDescent="0.3">
      <c r="B4" s="8" t="s">
        <v>6</v>
      </c>
      <c r="C4" s="9" t="s">
        <v>6</v>
      </c>
      <c r="D4" s="9" t="s">
        <v>6</v>
      </c>
      <c r="E4" s="10" t="s">
        <v>6</v>
      </c>
      <c r="F4" s="10" t="s">
        <v>6</v>
      </c>
      <c r="G4" s="10" t="s">
        <v>6</v>
      </c>
      <c r="H4" s="10" t="s">
        <v>6</v>
      </c>
      <c r="I4" s="10" t="s">
        <v>6</v>
      </c>
      <c r="J4" s="11" t="s">
        <v>6</v>
      </c>
      <c r="K4" s="16" t="s">
        <v>6</v>
      </c>
      <c r="L4" s="17" t="s">
        <v>6</v>
      </c>
      <c r="M4" s="17" t="s">
        <v>6</v>
      </c>
    </row>
    <row r="5" spans="2:13" x14ac:dyDescent="0.25">
      <c r="B5" s="3">
        <v>0</v>
      </c>
      <c r="C5" s="3">
        <v>0</v>
      </c>
      <c r="D5" s="3">
        <v>0</v>
      </c>
      <c r="E5" s="12">
        <v>0</v>
      </c>
      <c r="F5" s="12">
        <v>0</v>
      </c>
      <c r="G5" s="12">
        <v>0</v>
      </c>
      <c r="H5" s="12">
        <v>0.27600000000000002</v>
      </c>
      <c r="I5" s="12">
        <v>-0.48599999999999999</v>
      </c>
      <c r="J5" s="12">
        <v>0.24099999999999999</v>
      </c>
      <c r="K5">
        <f>H5-H$5</f>
        <v>0</v>
      </c>
      <c r="L5">
        <f t="shared" ref="L5:M5" si="0">I5-I$5</f>
        <v>0</v>
      </c>
      <c r="M5">
        <f t="shared" si="0"/>
        <v>0</v>
      </c>
    </row>
    <row r="6" spans="2:13" x14ac:dyDescent="0.25">
      <c r="B6" s="2">
        <v>8.9600000000000009</v>
      </c>
      <c r="C6" s="2">
        <v>5.98</v>
      </c>
      <c r="D6" s="2">
        <v>0</v>
      </c>
      <c r="E6" s="13">
        <v>8.9600000000000009</v>
      </c>
      <c r="F6" s="13">
        <v>5.98</v>
      </c>
      <c r="G6" s="13">
        <v>0</v>
      </c>
      <c r="H6" s="13">
        <v>9.23</v>
      </c>
      <c r="I6" s="13">
        <v>5.49</v>
      </c>
      <c r="J6" s="13">
        <v>0.24099999999999999</v>
      </c>
      <c r="K6">
        <f t="shared" ref="K6:K24" si="1">H6-H$5</f>
        <v>8.9540000000000006</v>
      </c>
      <c r="L6">
        <f t="shared" ref="L6:L24" si="2">I6-I$5</f>
        <v>5.976</v>
      </c>
      <c r="M6">
        <f t="shared" ref="M6:M24" si="3">J6-J$5</f>
        <v>0</v>
      </c>
    </row>
    <row r="7" spans="2:13" x14ac:dyDescent="0.25">
      <c r="B7" s="2">
        <v>8.9600000000000009</v>
      </c>
      <c r="C7" s="2">
        <v>5.98</v>
      </c>
      <c r="D7" s="2">
        <v>1.77</v>
      </c>
      <c r="E7" s="13">
        <v>8.9600000000000009</v>
      </c>
      <c r="F7" s="13">
        <v>5.98</v>
      </c>
      <c r="G7" s="13">
        <v>1.7</v>
      </c>
      <c r="H7" s="13">
        <v>9.23</v>
      </c>
      <c r="I7" s="13">
        <v>5.49</v>
      </c>
      <c r="J7" s="13">
        <v>1.94</v>
      </c>
      <c r="K7">
        <f t="shared" si="1"/>
        <v>8.9540000000000006</v>
      </c>
      <c r="L7">
        <f t="shared" si="2"/>
        <v>5.976</v>
      </c>
      <c r="M7">
        <f t="shared" si="3"/>
        <v>1.6989999999999998</v>
      </c>
    </row>
    <row r="8" spans="2:13" x14ac:dyDescent="0.25">
      <c r="B8" s="2">
        <v>8.9600000000000009</v>
      </c>
      <c r="C8" s="2">
        <v>5.98</v>
      </c>
      <c r="D8" s="2">
        <v>5.17</v>
      </c>
      <c r="E8" s="13">
        <v>8.9600000000000009</v>
      </c>
      <c r="F8" s="13">
        <v>5.98</v>
      </c>
      <c r="G8" s="13">
        <v>5.21</v>
      </c>
      <c r="H8" s="13">
        <v>9.23</v>
      </c>
      <c r="I8" s="13">
        <v>5.49</v>
      </c>
      <c r="J8" s="13">
        <v>5.47</v>
      </c>
      <c r="K8">
        <f t="shared" si="1"/>
        <v>8.9540000000000006</v>
      </c>
      <c r="L8">
        <f t="shared" si="2"/>
        <v>5.976</v>
      </c>
      <c r="M8">
        <f t="shared" si="3"/>
        <v>5.2290000000000001</v>
      </c>
    </row>
    <row r="9" spans="2:13" x14ac:dyDescent="0.25">
      <c r="B9" s="2">
        <v>8.9600000000000009</v>
      </c>
      <c r="C9" s="2">
        <v>5.98</v>
      </c>
      <c r="D9" s="2">
        <v>11.25</v>
      </c>
      <c r="E9" s="13">
        <v>8.9600000000000009</v>
      </c>
      <c r="F9" s="13">
        <v>5.98</v>
      </c>
      <c r="G9" s="13">
        <v>11.6</v>
      </c>
      <c r="H9" s="13">
        <v>9.23</v>
      </c>
      <c r="I9" s="13">
        <v>5.49</v>
      </c>
      <c r="J9" s="13">
        <v>11.87</v>
      </c>
      <c r="K9">
        <f t="shared" si="1"/>
        <v>8.9540000000000006</v>
      </c>
      <c r="L9">
        <f t="shared" si="2"/>
        <v>5.976</v>
      </c>
      <c r="M9">
        <f t="shared" si="3"/>
        <v>11.629</v>
      </c>
    </row>
    <row r="10" spans="2:13" x14ac:dyDescent="0.25">
      <c r="B10" s="2">
        <v>8.9600000000000009</v>
      </c>
      <c r="C10" s="2">
        <v>5.98</v>
      </c>
      <c r="D10" s="2">
        <v>18.96</v>
      </c>
      <c r="E10" s="13">
        <v>8.9600000000000009</v>
      </c>
      <c r="F10" s="13">
        <v>5.98</v>
      </c>
      <c r="G10" s="13">
        <v>19.14</v>
      </c>
      <c r="H10" s="13">
        <v>9.23</v>
      </c>
      <c r="I10" s="13">
        <v>5.49</v>
      </c>
      <c r="J10" s="13">
        <v>19.440000000000001</v>
      </c>
      <c r="K10">
        <f t="shared" si="1"/>
        <v>8.9540000000000006</v>
      </c>
      <c r="L10">
        <f t="shared" si="2"/>
        <v>5.976</v>
      </c>
      <c r="M10">
        <f t="shared" si="3"/>
        <v>19.199000000000002</v>
      </c>
    </row>
    <row r="11" spans="2:13" x14ac:dyDescent="0.25">
      <c r="B11" s="2">
        <v>8.9600000000000009</v>
      </c>
      <c r="C11" s="2">
        <v>5.98</v>
      </c>
      <c r="D11" s="2">
        <v>27.45</v>
      </c>
      <c r="E11" s="13">
        <v>8.9600000000000009</v>
      </c>
      <c r="F11" s="13">
        <v>5.98</v>
      </c>
      <c r="G11" s="13">
        <v>28.16</v>
      </c>
      <c r="H11" s="13">
        <v>9.23</v>
      </c>
      <c r="I11" s="13">
        <v>5.48</v>
      </c>
      <c r="J11" s="13">
        <v>28.49</v>
      </c>
      <c r="K11">
        <f t="shared" si="1"/>
        <v>8.9540000000000006</v>
      </c>
      <c r="L11">
        <f t="shared" si="2"/>
        <v>5.9660000000000002</v>
      </c>
      <c r="M11">
        <f t="shared" si="3"/>
        <v>28.248999999999999</v>
      </c>
    </row>
    <row r="12" spans="2:13" x14ac:dyDescent="0.25">
      <c r="B12" s="2">
        <v>8.9600000000000009</v>
      </c>
      <c r="C12" s="2">
        <v>5.98</v>
      </c>
      <c r="D12" s="2">
        <v>34.82</v>
      </c>
      <c r="E12" s="13">
        <v>8.9600000000000009</v>
      </c>
      <c r="F12" s="13">
        <v>5.98</v>
      </c>
      <c r="G12" s="13">
        <v>34.68</v>
      </c>
      <c r="H12" s="13">
        <v>9.23</v>
      </c>
      <c r="I12" s="13">
        <v>5.49</v>
      </c>
      <c r="J12" s="13">
        <v>35.04</v>
      </c>
      <c r="K12">
        <f t="shared" si="1"/>
        <v>8.9540000000000006</v>
      </c>
      <c r="L12">
        <f t="shared" si="2"/>
        <v>5.976</v>
      </c>
      <c r="M12">
        <f t="shared" si="3"/>
        <v>34.798999999999999</v>
      </c>
    </row>
    <row r="13" spans="2:13" x14ac:dyDescent="0.25">
      <c r="B13" s="2">
        <v>8.9600000000000009</v>
      </c>
      <c r="C13" s="2">
        <v>5.98</v>
      </c>
      <c r="D13" s="2">
        <v>39.979999999999997</v>
      </c>
      <c r="E13" s="13">
        <v>8.9600000000000009</v>
      </c>
      <c r="F13" s="13">
        <v>5.98</v>
      </c>
      <c r="G13" s="13">
        <v>39.630000000000003</v>
      </c>
      <c r="H13" s="13">
        <v>9.23</v>
      </c>
      <c r="I13" s="13">
        <v>5.49</v>
      </c>
      <c r="J13" s="13">
        <v>39.99</v>
      </c>
      <c r="K13">
        <f t="shared" si="1"/>
        <v>8.9540000000000006</v>
      </c>
      <c r="L13">
        <f t="shared" si="2"/>
        <v>5.976</v>
      </c>
      <c r="M13">
        <f t="shared" si="3"/>
        <v>39.749000000000002</v>
      </c>
    </row>
    <row r="14" spans="2:13" x14ac:dyDescent="0.25">
      <c r="B14" s="2">
        <v>8.9600000000000009</v>
      </c>
      <c r="C14" s="2">
        <v>5.98</v>
      </c>
      <c r="D14" s="2">
        <v>44.97</v>
      </c>
      <c r="E14" s="13">
        <v>8.9600000000000009</v>
      </c>
      <c r="F14" s="13">
        <v>5.98</v>
      </c>
      <c r="G14" s="13">
        <v>44.58</v>
      </c>
      <c r="H14" s="13">
        <v>9.23</v>
      </c>
      <c r="I14" s="13">
        <v>5.49</v>
      </c>
      <c r="J14" s="13">
        <v>44.95</v>
      </c>
      <c r="K14">
        <f t="shared" si="1"/>
        <v>8.9540000000000006</v>
      </c>
      <c r="L14">
        <f t="shared" si="2"/>
        <v>5.976</v>
      </c>
      <c r="M14">
        <f t="shared" si="3"/>
        <v>44.709000000000003</v>
      </c>
    </row>
    <row r="15" spans="2:13" x14ac:dyDescent="0.25">
      <c r="B15" s="2">
        <v>8.9600000000000009</v>
      </c>
      <c r="C15" s="2">
        <v>5.98</v>
      </c>
      <c r="D15" s="2">
        <v>48.07</v>
      </c>
      <c r="E15" s="13">
        <v>8.9600000000000009</v>
      </c>
      <c r="F15" s="13">
        <v>5.98</v>
      </c>
      <c r="G15" s="13">
        <v>48.07</v>
      </c>
      <c r="H15" s="13">
        <v>9.23</v>
      </c>
      <c r="I15" s="13">
        <v>5.48</v>
      </c>
      <c r="J15" s="13">
        <v>48.49</v>
      </c>
      <c r="K15">
        <f t="shared" si="1"/>
        <v>8.9540000000000006</v>
      </c>
      <c r="L15">
        <f t="shared" si="2"/>
        <v>5.9660000000000002</v>
      </c>
      <c r="M15">
        <f t="shared" si="3"/>
        <v>48.249000000000002</v>
      </c>
    </row>
    <row r="16" spans="2:13" x14ac:dyDescent="0.25">
      <c r="B16" s="2">
        <v>8.9600000000000009</v>
      </c>
      <c r="C16" s="2">
        <v>0</v>
      </c>
      <c r="D16" s="2">
        <v>48.07</v>
      </c>
      <c r="E16" s="13">
        <v>8.9600000000000009</v>
      </c>
      <c r="F16" s="13">
        <v>0</v>
      </c>
      <c r="G16" s="13">
        <v>48.07</v>
      </c>
      <c r="H16" s="13">
        <v>9.23</v>
      </c>
      <c r="I16" s="13">
        <v>-0.48599999999999999</v>
      </c>
      <c r="J16" s="13">
        <v>48.49</v>
      </c>
      <c r="K16">
        <f t="shared" si="1"/>
        <v>8.9540000000000006</v>
      </c>
      <c r="L16">
        <f t="shared" si="2"/>
        <v>0</v>
      </c>
      <c r="M16">
        <f t="shared" si="3"/>
        <v>48.249000000000002</v>
      </c>
    </row>
    <row r="17" spans="2:15" x14ac:dyDescent="0.25">
      <c r="B17" s="2">
        <v>8.9600000000000009</v>
      </c>
      <c r="C17" s="2">
        <v>5.98</v>
      </c>
      <c r="D17" s="2">
        <v>36.159999999999997</v>
      </c>
      <c r="E17" s="13">
        <v>8.9600000000000009</v>
      </c>
      <c r="F17" s="13">
        <v>5.98</v>
      </c>
      <c r="G17" s="13">
        <v>35.97</v>
      </c>
      <c r="H17" s="13">
        <v>9.23</v>
      </c>
      <c r="I17" s="13">
        <v>5.49</v>
      </c>
      <c r="J17" s="13">
        <v>36.33</v>
      </c>
      <c r="K17">
        <f t="shared" si="1"/>
        <v>8.9540000000000006</v>
      </c>
      <c r="L17">
        <f t="shared" si="2"/>
        <v>5.976</v>
      </c>
      <c r="M17">
        <f t="shared" si="3"/>
        <v>36.088999999999999</v>
      </c>
    </row>
    <row r="18" spans="2:15" x14ac:dyDescent="0.25">
      <c r="B18" s="2">
        <v>8.9600000000000009</v>
      </c>
      <c r="C18" s="2">
        <v>5.98</v>
      </c>
      <c r="D18" s="2">
        <v>27.5</v>
      </c>
      <c r="E18" s="13">
        <v>8.9600000000000009</v>
      </c>
      <c r="F18" s="13">
        <v>5.98</v>
      </c>
      <c r="G18" s="13">
        <v>27.37</v>
      </c>
      <c r="H18" s="13">
        <v>9.23</v>
      </c>
      <c r="I18" s="13">
        <v>5.48</v>
      </c>
      <c r="J18" s="13">
        <v>27.72</v>
      </c>
      <c r="K18">
        <f t="shared" si="1"/>
        <v>8.9540000000000006</v>
      </c>
      <c r="L18">
        <f t="shared" si="2"/>
        <v>5.9660000000000002</v>
      </c>
      <c r="M18">
        <f t="shared" si="3"/>
        <v>27.478999999999999</v>
      </c>
    </row>
    <row r="19" spans="2:15" x14ac:dyDescent="0.25">
      <c r="B19" s="2">
        <v>8.9600000000000009</v>
      </c>
      <c r="C19" s="2">
        <v>5.98</v>
      </c>
      <c r="D19" s="2">
        <v>18.62</v>
      </c>
      <c r="E19" s="13">
        <v>8.9600000000000009</v>
      </c>
      <c r="F19" s="13">
        <v>5.98</v>
      </c>
      <c r="G19" s="13">
        <v>19.41</v>
      </c>
      <c r="H19" s="13">
        <v>9.23</v>
      </c>
      <c r="I19" s="13">
        <v>5.48</v>
      </c>
      <c r="J19" s="13">
        <v>19.71</v>
      </c>
      <c r="K19">
        <f t="shared" si="1"/>
        <v>8.9540000000000006</v>
      </c>
      <c r="L19">
        <f t="shared" si="2"/>
        <v>5.9660000000000002</v>
      </c>
      <c r="M19">
        <f t="shared" si="3"/>
        <v>19.469000000000001</v>
      </c>
    </row>
    <row r="20" spans="2:15" x14ac:dyDescent="0.25">
      <c r="B20" s="2">
        <v>8.9600000000000009</v>
      </c>
      <c r="C20" s="2">
        <v>5.98</v>
      </c>
      <c r="D20" s="2">
        <v>10.87</v>
      </c>
      <c r="E20" s="13">
        <v>8.9600000000000009</v>
      </c>
      <c r="F20" s="13">
        <v>5.98</v>
      </c>
      <c r="G20" s="13">
        <v>10.41</v>
      </c>
      <c r="H20" s="13">
        <v>9.23</v>
      </c>
      <c r="I20" s="13">
        <v>5.49</v>
      </c>
      <c r="J20" s="13">
        <v>10.69</v>
      </c>
      <c r="K20">
        <f t="shared" si="1"/>
        <v>8.9540000000000006</v>
      </c>
      <c r="L20">
        <f t="shared" si="2"/>
        <v>5.976</v>
      </c>
      <c r="M20">
        <f t="shared" si="3"/>
        <v>10.449</v>
      </c>
    </row>
    <row r="21" spans="2:15" x14ac:dyDescent="0.25">
      <c r="B21" s="2">
        <v>8.9600000000000009</v>
      </c>
      <c r="C21" s="2">
        <v>5.98</v>
      </c>
      <c r="D21" s="2">
        <v>5.05</v>
      </c>
      <c r="E21" s="13">
        <v>8.9600000000000009</v>
      </c>
      <c r="F21" s="13">
        <v>5.98</v>
      </c>
      <c r="G21" s="13">
        <v>5.45</v>
      </c>
      <c r="H21" s="13">
        <v>9.23</v>
      </c>
      <c r="I21" s="13">
        <v>5.49</v>
      </c>
      <c r="J21" s="13">
        <v>5.71</v>
      </c>
      <c r="K21">
        <f t="shared" si="1"/>
        <v>8.9540000000000006</v>
      </c>
      <c r="L21">
        <f t="shared" si="2"/>
        <v>5.976</v>
      </c>
      <c r="M21">
        <f t="shared" si="3"/>
        <v>5.4690000000000003</v>
      </c>
    </row>
    <row r="22" spans="2:15" x14ac:dyDescent="0.25">
      <c r="B22" s="2">
        <v>8.9600000000000009</v>
      </c>
      <c r="C22" s="2">
        <v>5.98</v>
      </c>
      <c r="D22" s="2">
        <v>1.77</v>
      </c>
      <c r="E22" s="13">
        <v>8.9600000000000009</v>
      </c>
      <c r="F22" s="13">
        <v>5.98</v>
      </c>
      <c r="G22" s="13">
        <v>1.7</v>
      </c>
      <c r="H22" s="13">
        <v>9.24</v>
      </c>
      <c r="I22" s="13">
        <v>5.49</v>
      </c>
      <c r="J22" s="13">
        <v>1.95</v>
      </c>
      <c r="K22">
        <f t="shared" si="1"/>
        <v>8.9640000000000004</v>
      </c>
      <c r="L22">
        <f t="shared" si="2"/>
        <v>5.976</v>
      </c>
      <c r="M22">
        <f t="shared" si="3"/>
        <v>1.7090000000000001</v>
      </c>
    </row>
    <row r="23" spans="2:15" x14ac:dyDescent="0.25">
      <c r="B23" s="2">
        <v>8.9600000000000009</v>
      </c>
      <c r="C23" s="2">
        <v>5.98</v>
      </c>
      <c r="D23" s="2">
        <v>0</v>
      </c>
      <c r="E23" s="13">
        <v>8.9600000000000009</v>
      </c>
      <c r="F23" s="13">
        <v>5.98</v>
      </c>
      <c r="G23" s="13">
        <v>0</v>
      </c>
      <c r="H23" s="13">
        <v>9.23</v>
      </c>
      <c r="I23" s="13">
        <v>5.49</v>
      </c>
      <c r="J23" s="13">
        <v>0.245</v>
      </c>
      <c r="K23">
        <f t="shared" si="1"/>
        <v>8.9540000000000006</v>
      </c>
      <c r="L23">
        <f t="shared" si="2"/>
        <v>5.976</v>
      </c>
      <c r="M23">
        <f t="shared" si="3"/>
        <v>4.0000000000000036E-3</v>
      </c>
    </row>
    <row r="24" spans="2:15" x14ac:dyDescent="0.25">
      <c r="B24" s="2">
        <v>0</v>
      </c>
      <c r="C24" s="2">
        <v>0</v>
      </c>
      <c r="D24" s="2">
        <v>0</v>
      </c>
      <c r="E24" s="13">
        <v>0</v>
      </c>
      <c r="F24" s="13">
        <v>0</v>
      </c>
      <c r="G24" s="13">
        <v>0</v>
      </c>
      <c r="H24" s="13">
        <v>0.28199999999999997</v>
      </c>
      <c r="I24" s="13">
        <v>-0.48499999999999999</v>
      </c>
      <c r="J24" s="13">
        <v>0.24399999999999999</v>
      </c>
      <c r="K24">
        <f t="shared" si="1"/>
        <v>5.9999999999999498E-3</v>
      </c>
      <c r="L24">
        <f t="shared" si="2"/>
        <v>1.0000000000000009E-3</v>
      </c>
      <c r="M24">
        <f t="shared" si="3"/>
        <v>3.0000000000000027E-3</v>
      </c>
    </row>
    <row r="26" spans="2:15" ht="15.75" thickBot="1" x14ac:dyDescent="0.3"/>
    <row r="27" spans="2:15" x14ac:dyDescent="0.25">
      <c r="B27" s="4" t="str">
        <f>B3</f>
        <v>Bucket1</v>
      </c>
      <c r="C27" s="5" t="s">
        <v>15</v>
      </c>
      <c r="D27" s="5" t="s">
        <v>11</v>
      </c>
      <c r="E27" s="5" t="str">
        <f>C3</f>
        <v>Bucket2</v>
      </c>
      <c r="F27" s="5" t="s">
        <v>16</v>
      </c>
      <c r="G27" s="5" t="s">
        <v>12</v>
      </c>
      <c r="H27" s="5" t="str">
        <f>D3</f>
        <v>Bucket3</v>
      </c>
      <c r="I27" s="5" t="s">
        <v>17</v>
      </c>
      <c r="J27" s="14" t="s">
        <v>13</v>
      </c>
    </row>
    <row r="28" spans="2:15" ht="15.75" thickBot="1" x14ac:dyDescent="0.3">
      <c r="B28" s="8" t="s">
        <v>14</v>
      </c>
      <c r="C28" s="9" t="s">
        <v>14</v>
      </c>
      <c r="D28" s="9" t="s">
        <v>14</v>
      </c>
      <c r="E28" s="9" t="s">
        <v>14</v>
      </c>
      <c r="F28" s="9" t="s">
        <v>14</v>
      </c>
      <c r="G28" s="9" t="s">
        <v>14</v>
      </c>
      <c r="H28" s="9" t="s">
        <v>14</v>
      </c>
      <c r="I28" s="9" t="s">
        <v>14</v>
      </c>
      <c r="J28" s="15" t="s">
        <v>14</v>
      </c>
      <c r="M28" s="18" t="s">
        <v>21</v>
      </c>
      <c r="N28" s="18" t="s">
        <v>22</v>
      </c>
    </row>
    <row r="29" spans="2:15" x14ac:dyDescent="0.25">
      <c r="B29">
        <f>E5*453.59237</f>
        <v>0</v>
      </c>
      <c r="C29">
        <f>K5*453.59237</f>
        <v>0</v>
      </c>
      <c r="D29">
        <f>C29-B29</f>
        <v>0</v>
      </c>
      <c r="E29">
        <f>F5*453.59237</f>
        <v>0</v>
      </c>
      <c r="F29">
        <f>L5*453.59237</f>
        <v>0</v>
      </c>
      <c r="G29">
        <f>F29-E29</f>
        <v>0</v>
      </c>
      <c r="H29">
        <f>G5*453.59237</f>
        <v>0</v>
      </c>
      <c r="I29">
        <f>M5*453.59237</f>
        <v>0</v>
      </c>
      <c r="J29">
        <f>I29-H29</f>
        <v>0</v>
      </c>
      <c r="L29" s="19">
        <f>I29*$N$29+$O$29</f>
        <v>0.31563856477077934</v>
      </c>
      <c r="M29" s="19">
        <f>ABS(L29-H29)</f>
        <v>0.31563856477077934</v>
      </c>
      <c r="N29" cm="1">
        <f t="array" ref="N29:O29">LINEST(H29:H48,I29:I48)</f>
        <v>0.99661398453994465</v>
      </c>
      <c r="O29">
        <v>0.31563856477077934</v>
      </c>
    </row>
    <row r="30" spans="2:15" x14ac:dyDescent="0.25">
      <c r="B30">
        <f t="shared" ref="B30:B48" si="4">E6*453.59237</f>
        <v>4064.1876352000004</v>
      </c>
      <c r="C30">
        <f t="shared" ref="C30:C48" si="5">K6*453.59237</f>
        <v>4061.4660809800002</v>
      </c>
      <c r="D30">
        <f>ABS(C30-B30)</f>
        <v>2.7215542200001437</v>
      </c>
      <c r="E30">
        <f t="shared" ref="E30:E48" si="6">F6*453.59237</f>
        <v>2712.4823726000004</v>
      </c>
      <c r="F30">
        <f t="shared" ref="F30:F48" si="7">L6*453.59237</f>
        <v>2710.6680031199999</v>
      </c>
      <c r="G30">
        <f>ABS(F30-E30)</f>
        <v>1.8143694800005505</v>
      </c>
      <c r="H30">
        <f t="shared" ref="H30:H48" si="8">G6*453.59237</f>
        <v>0</v>
      </c>
      <c r="I30">
        <f t="shared" ref="I30:I48" si="9">M6*453.59237</f>
        <v>0</v>
      </c>
      <c r="J30">
        <f>ABS(I30-H30)</f>
        <v>0</v>
      </c>
      <c r="L30" s="19">
        <f t="shared" ref="L30:L48" si="10">I30*$N$29+$O$29</f>
        <v>0.31563856477077934</v>
      </c>
      <c r="M30" s="19">
        <f t="shared" ref="M30:M48" si="11">ABS(L30-H30)</f>
        <v>0.31563856477077934</v>
      </c>
    </row>
    <row r="31" spans="2:15" x14ac:dyDescent="0.25">
      <c r="B31">
        <f t="shared" si="4"/>
        <v>4064.1876352000004</v>
      </c>
      <c r="C31">
        <f t="shared" si="5"/>
        <v>4061.4660809800002</v>
      </c>
      <c r="D31">
        <f t="shared" ref="D31:D48" si="12">ABS(C31-B31)</f>
        <v>2.7215542200001437</v>
      </c>
      <c r="E31">
        <f t="shared" si="6"/>
        <v>2712.4823726000004</v>
      </c>
      <c r="F31">
        <f t="shared" si="7"/>
        <v>2710.6680031199999</v>
      </c>
      <c r="G31">
        <f t="shared" ref="G31:G48" si="13">ABS(F31-E31)</f>
        <v>1.8143694800005505</v>
      </c>
      <c r="H31">
        <f t="shared" si="8"/>
        <v>771.10702900000001</v>
      </c>
      <c r="I31">
        <f t="shared" si="9"/>
        <v>770.65343662999999</v>
      </c>
      <c r="J31">
        <f t="shared" ref="J31:J48" si="14">ABS(I31-H31)</f>
        <v>0.45359237000002395</v>
      </c>
      <c r="L31" s="19">
        <f t="shared" si="10"/>
        <v>768.35963074399683</v>
      </c>
      <c r="M31" s="19">
        <f t="shared" si="11"/>
        <v>2.74739825600318</v>
      </c>
    </row>
    <row r="32" spans="2:15" x14ac:dyDescent="0.25">
      <c r="B32">
        <f t="shared" si="4"/>
        <v>4064.1876352000004</v>
      </c>
      <c r="C32">
        <f t="shared" si="5"/>
        <v>4061.4660809800002</v>
      </c>
      <c r="D32">
        <f t="shared" si="12"/>
        <v>2.7215542200001437</v>
      </c>
      <c r="E32">
        <f t="shared" si="6"/>
        <v>2712.4823726000004</v>
      </c>
      <c r="F32">
        <f t="shared" si="7"/>
        <v>2710.6680031199999</v>
      </c>
      <c r="G32">
        <f t="shared" si="13"/>
        <v>1.8143694800005505</v>
      </c>
      <c r="H32">
        <f t="shared" si="8"/>
        <v>2363.2162477000002</v>
      </c>
      <c r="I32">
        <f t="shared" si="9"/>
        <v>2371.8345027300002</v>
      </c>
      <c r="J32">
        <f t="shared" si="14"/>
        <v>8.6182550300000003</v>
      </c>
      <c r="L32" s="19">
        <f t="shared" si="10"/>
        <v>2364.1190729998343</v>
      </c>
      <c r="M32" s="19">
        <f t="shared" si="11"/>
        <v>0.90282529983414861</v>
      </c>
    </row>
    <row r="33" spans="2:13" x14ac:dyDescent="0.25">
      <c r="B33">
        <f t="shared" si="4"/>
        <v>4064.1876352000004</v>
      </c>
      <c r="C33">
        <f t="shared" si="5"/>
        <v>4061.4660809800002</v>
      </c>
      <c r="D33">
        <f t="shared" si="12"/>
        <v>2.7215542200001437</v>
      </c>
      <c r="E33">
        <f t="shared" si="6"/>
        <v>2712.4823726000004</v>
      </c>
      <c r="F33">
        <f t="shared" si="7"/>
        <v>2710.6680031199999</v>
      </c>
      <c r="G33">
        <f t="shared" si="13"/>
        <v>1.8143694800005505</v>
      </c>
      <c r="H33">
        <f t="shared" si="8"/>
        <v>5261.6714920000004</v>
      </c>
      <c r="I33">
        <f t="shared" si="9"/>
        <v>5274.8256707299997</v>
      </c>
      <c r="J33">
        <f t="shared" si="14"/>
        <v>13.15417872999933</v>
      </c>
      <c r="L33" s="19">
        <f t="shared" si="10"/>
        <v>5257.2806680245822</v>
      </c>
      <c r="M33" s="19">
        <f t="shared" si="11"/>
        <v>4.3908239754182432</v>
      </c>
    </row>
    <row r="34" spans="2:13" x14ac:dyDescent="0.25">
      <c r="B34">
        <f t="shared" si="4"/>
        <v>4064.1876352000004</v>
      </c>
      <c r="C34">
        <f t="shared" si="5"/>
        <v>4061.4660809800002</v>
      </c>
      <c r="D34">
        <f t="shared" si="12"/>
        <v>2.7215542200001437</v>
      </c>
      <c r="E34">
        <f t="shared" si="6"/>
        <v>2712.4823726000004</v>
      </c>
      <c r="F34">
        <f t="shared" si="7"/>
        <v>2710.6680031199999</v>
      </c>
      <c r="G34">
        <f t="shared" si="13"/>
        <v>1.8143694800005505</v>
      </c>
      <c r="H34">
        <f t="shared" si="8"/>
        <v>8681.7579618</v>
      </c>
      <c r="I34">
        <f t="shared" si="9"/>
        <v>8708.5199116300009</v>
      </c>
      <c r="J34">
        <f t="shared" si="14"/>
        <v>26.761949830000958</v>
      </c>
      <c r="L34" s="19">
        <f t="shared" si="10"/>
        <v>8679.3483671397935</v>
      </c>
      <c r="M34" s="19">
        <f t="shared" si="11"/>
        <v>2.4095946602064942</v>
      </c>
    </row>
    <row r="35" spans="2:13" x14ac:dyDescent="0.25">
      <c r="B35">
        <f t="shared" si="4"/>
        <v>4064.1876352000004</v>
      </c>
      <c r="C35">
        <f t="shared" si="5"/>
        <v>4061.4660809800002</v>
      </c>
      <c r="D35">
        <f t="shared" si="12"/>
        <v>2.7215542200001437</v>
      </c>
      <c r="E35">
        <f t="shared" si="6"/>
        <v>2712.4823726000004</v>
      </c>
      <c r="F35">
        <f t="shared" si="7"/>
        <v>2706.1320794200001</v>
      </c>
      <c r="G35">
        <f t="shared" si="13"/>
        <v>6.3502931800003353</v>
      </c>
      <c r="H35">
        <f t="shared" si="8"/>
        <v>12773.161139200001</v>
      </c>
      <c r="I35">
        <f t="shared" si="9"/>
        <v>12813.53086013</v>
      </c>
      <c r="J35">
        <f t="shared" si="14"/>
        <v>40.369720929998948</v>
      </c>
      <c r="L35" s="19">
        <f t="shared" si="10"/>
        <v>12770.459685104475</v>
      </c>
      <c r="M35" s="19">
        <f t="shared" si="11"/>
        <v>2.70145409552606</v>
      </c>
    </row>
    <row r="36" spans="2:13" x14ac:dyDescent="0.25">
      <c r="B36">
        <f t="shared" si="4"/>
        <v>4064.1876352000004</v>
      </c>
      <c r="C36">
        <f t="shared" si="5"/>
        <v>4061.4660809800002</v>
      </c>
      <c r="D36">
        <f t="shared" si="12"/>
        <v>2.7215542200001437</v>
      </c>
      <c r="E36">
        <f t="shared" si="6"/>
        <v>2712.4823726000004</v>
      </c>
      <c r="F36">
        <f t="shared" si="7"/>
        <v>2710.6680031199999</v>
      </c>
      <c r="G36">
        <f t="shared" si="13"/>
        <v>1.8143694800005505</v>
      </c>
      <c r="H36">
        <f t="shared" si="8"/>
        <v>15730.583391600001</v>
      </c>
      <c r="I36">
        <f t="shared" si="9"/>
        <v>15784.56088363</v>
      </c>
      <c r="J36">
        <f t="shared" si="14"/>
        <v>53.977492029998757</v>
      </c>
      <c r="L36" s="19">
        <f t="shared" si="10"/>
        <v>15731.429755012614</v>
      </c>
      <c r="M36" s="19">
        <f t="shared" si="11"/>
        <v>0.84636341261284542</v>
      </c>
    </row>
    <row r="37" spans="2:13" x14ac:dyDescent="0.25">
      <c r="B37">
        <f t="shared" si="4"/>
        <v>4064.1876352000004</v>
      </c>
      <c r="C37">
        <f t="shared" si="5"/>
        <v>4061.4660809800002</v>
      </c>
      <c r="D37">
        <f t="shared" si="12"/>
        <v>2.7215542200001437</v>
      </c>
      <c r="E37">
        <f t="shared" si="6"/>
        <v>2712.4823726000004</v>
      </c>
      <c r="F37">
        <f t="shared" si="7"/>
        <v>2710.6680031199999</v>
      </c>
      <c r="G37">
        <f t="shared" si="13"/>
        <v>1.8143694800005505</v>
      </c>
      <c r="H37">
        <f t="shared" si="8"/>
        <v>17975.865623100002</v>
      </c>
      <c r="I37">
        <f t="shared" si="9"/>
        <v>18029.843115130003</v>
      </c>
      <c r="J37">
        <f t="shared" si="14"/>
        <v>53.977492030000576</v>
      </c>
      <c r="L37" s="19">
        <f t="shared" si="10"/>
        <v>17969.10942616457</v>
      </c>
      <c r="M37" s="19">
        <f t="shared" si="11"/>
        <v>6.7561969354319444</v>
      </c>
    </row>
    <row r="38" spans="2:13" x14ac:dyDescent="0.25">
      <c r="B38">
        <f t="shared" si="4"/>
        <v>4064.1876352000004</v>
      </c>
      <c r="C38">
        <f t="shared" si="5"/>
        <v>4061.4660809800002</v>
      </c>
      <c r="D38">
        <f t="shared" si="12"/>
        <v>2.7215542200001437</v>
      </c>
      <c r="E38">
        <f t="shared" si="6"/>
        <v>2712.4823726000004</v>
      </c>
      <c r="F38">
        <f t="shared" si="7"/>
        <v>2710.6680031199999</v>
      </c>
      <c r="G38">
        <f t="shared" si="13"/>
        <v>1.8143694800005505</v>
      </c>
      <c r="H38">
        <f t="shared" si="8"/>
        <v>20221.1478546</v>
      </c>
      <c r="I38">
        <f t="shared" si="9"/>
        <v>20279.661270330002</v>
      </c>
      <c r="J38">
        <f t="shared" si="14"/>
        <v>58.513415730001725</v>
      </c>
      <c r="L38" s="19">
        <f t="shared" si="10"/>
        <v>20211.309662308748</v>
      </c>
      <c r="M38" s="19">
        <f t="shared" si="11"/>
        <v>9.8381922912521986</v>
      </c>
    </row>
    <row r="39" spans="2:13" x14ac:dyDescent="0.25">
      <c r="B39">
        <f t="shared" si="4"/>
        <v>4064.1876352000004</v>
      </c>
      <c r="C39">
        <f t="shared" si="5"/>
        <v>4061.4660809800002</v>
      </c>
      <c r="D39">
        <f t="shared" si="12"/>
        <v>2.7215542200001437</v>
      </c>
      <c r="E39">
        <f t="shared" si="6"/>
        <v>2712.4823726000004</v>
      </c>
      <c r="F39">
        <f t="shared" si="7"/>
        <v>2706.1320794200001</v>
      </c>
      <c r="G39">
        <f t="shared" si="13"/>
        <v>6.3502931800003353</v>
      </c>
      <c r="H39">
        <f t="shared" si="8"/>
        <v>21804.185225900001</v>
      </c>
      <c r="I39">
        <f t="shared" si="9"/>
        <v>21885.378260130001</v>
      </c>
      <c r="J39">
        <f t="shared" si="14"/>
        <v>81.193034230000194</v>
      </c>
      <c r="L39" s="19">
        <f t="shared" si="10"/>
        <v>21811.589669556812</v>
      </c>
      <c r="M39" s="19">
        <f t="shared" si="11"/>
        <v>7.4044436568110541</v>
      </c>
    </row>
    <row r="40" spans="2:13" x14ac:dyDescent="0.25">
      <c r="B40">
        <f t="shared" si="4"/>
        <v>4064.1876352000004</v>
      </c>
      <c r="C40">
        <f t="shared" si="5"/>
        <v>4061.4660809800002</v>
      </c>
      <c r="D40">
        <f t="shared" si="12"/>
        <v>2.7215542200001437</v>
      </c>
      <c r="E40">
        <f t="shared" si="6"/>
        <v>0</v>
      </c>
      <c r="F40">
        <f t="shared" si="7"/>
        <v>0</v>
      </c>
      <c r="G40">
        <f t="shared" si="13"/>
        <v>0</v>
      </c>
      <c r="H40">
        <f t="shared" si="8"/>
        <v>21804.185225900001</v>
      </c>
      <c r="I40">
        <f t="shared" si="9"/>
        <v>21885.378260130001</v>
      </c>
      <c r="J40">
        <f t="shared" si="14"/>
        <v>81.193034230000194</v>
      </c>
      <c r="L40" s="19">
        <f t="shared" si="10"/>
        <v>21811.589669556812</v>
      </c>
      <c r="M40" s="19">
        <f t="shared" si="11"/>
        <v>7.4044436568110541</v>
      </c>
    </row>
    <row r="41" spans="2:13" x14ac:dyDescent="0.25">
      <c r="B41">
        <f t="shared" si="4"/>
        <v>4064.1876352000004</v>
      </c>
      <c r="C41">
        <f t="shared" si="5"/>
        <v>4061.4660809800002</v>
      </c>
      <c r="D41">
        <f t="shared" si="12"/>
        <v>2.7215542200001437</v>
      </c>
      <c r="E41">
        <f t="shared" si="6"/>
        <v>2712.4823726000004</v>
      </c>
      <c r="F41">
        <f t="shared" si="7"/>
        <v>2710.6680031199999</v>
      </c>
      <c r="G41">
        <f t="shared" si="13"/>
        <v>1.8143694800005505</v>
      </c>
      <c r="H41">
        <f t="shared" si="8"/>
        <v>16315.7175489</v>
      </c>
      <c r="I41">
        <f t="shared" si="9"/>
        <v>16369.695040930001</v>
      </c>
      <c r="J41">
        <f t="shared" si="14"/>
        <v>53.977492030000576</v>
      </c>
      <c r="L41" s="19">
        <f t="shared" si="10"/>
        <v>16314.582639009792</v>
      </c>
      <c r="M41" s="19">
        <f t="shared" si="11"/>
        <v>1.1349098902082915</v>
      </c>
    </row>
    <row r="42" spans="2:13" x14ac:dyDescent="0.25">
      <c r="B42">
        <f t="shared" si="4"/>
        <v>4064.1876352000004</v>
      </c>
      <c r="C42">
        <f t="shared" si="5"/>
        <v>4061.4660809800002</v>
      </c>
      <c r="D42">
        <f t="shared" si="12"/>
        <v>2.7215542200001437</v>
      </c>
      <c r="E42">
        <f t="shared" si="6"/>
        <v>2712.4823726000004</v>
      </c>
      <c r="F42">
        <f t="shared" si="7"/>
        <v>2706.1320794200001</v>
      </c>
      <c r="G42">
        <f t="shared" si="13"/>
        <v>6.3502931800003353</v>
      </c>
      <c r="H42">
        <f t="shared" si="8"/>
        <v>12414.823166900002</v>
      </c>
      <c r="I42">
        <f t="shared" si="9"/>
        <v>12464.264735230001</v>
      </c>
      <c r="J42">
        <f t="shared" si="14"/>
        <v>49.441568329999427</v>
      </c>
      <c r="L42" s="19">
        <f t="shared" si="10"/>
        <v>12422.376180703061</v>
      </c>
      <c r="M42" s="19">
        <f t="shared" si="11"/>
        <v>7.5530138030590024</v>
      </c>
    </row>
    <row r="43" spans="2:13" x14ac:dyDescent="0.25">
      <c r="B43">
        <f t="shared" si="4"/>
        <v>4064.1876352000004</v>
      </c>
      <c r="C43">
        <f t="shared" si="5"/>
        <v>4061.4660809800002</v>
      </c>
      <c r="D43">
        <f t="shared" si="12"/>
        <v>2.7215542200001437</v>
      </c>
      <c r="E43">
        <f t="shared" si="6"/>
        <v>2712.4823726000004</v>
      </c>
      <c r="F43">
        <f t="shared" si="7"/>
        <v>2706.1320794200001</v>
      </c>
      <c r="G43">
        <f t="shared" si="13"/>
        <v>6.3502931800003353</v>
      </c>
      <c r="H43">
        <f t="shared" si="8"/>
        <v>8804.2279017000001</v>
      </c>
      <c r="I43">
        <f t="shared" si="9"/>
        <v>8830.989851530001</v>
      </c>
      <c r="J43">
        <f t="shared" si="14"/>
        <v>26.761949830000958</v>
      </c>
      <c r="L43" s="19">
        <f t="shared" si="10"/>
        <v>8801.4036219298996</v>
      </c>
      <c r="M43" s="19">
        <f t="shared" si="11"/>
        <v>2.8242797701004747</v>
      </c>
    </row>
    <row r="44" spans="2:13" x14ac:dyDescent="0.25">
      <c r="B44">
        <f t="shared" si="4"/>
        <v>4064.1876352000004</v>
      </c>
      <c r="C44">
        <f t="shared" si="5"/>
        <v>4061.4660809800002</v>
      </c>
      <c r="D44">
        <f t="shared" si="12"/>
        <v>2.7215542200001437</v>
      </c>
      <c r="E44">
        <f t="shared" si="6"/>
        <v>2712.4823726000004</v>
      </c>
      <c r="F44">
        <f t="shared" si="7"/>
        <v>2710.6680031199999</v>
      </c>
      <c r="G44">
        <f t="shared" si="13"/>
        <v>1.8143694800005505</v>
      </c>
      <c r="H44">
        <f t="shared" si="8"/>
        <v>4721.8965717000001</v>
      </c>
      <c r="I44">
        <f t="shared" si="9"/>
        <v>4739.5866741299997</v>
      </c>
      <c r="J44">
        <f t="shared" si="14"/>
        <v>17.69010242999957</v>
      </c>
      <c r="L44" s="19">
        <f t="shared" si="10"/>
        <v>4723.8539989418941</v>
      </c>
      <c r="M44" s="19">
        <f t="shared" si="11"/>
        <v>1.9574272418940382</v>
      </c>
    </row>
    <row r="45" spans="2:13" x14ac:dyDescent="0.25">
      <c r="B45">
        <f t="shared" si="4"/>
        <v>4064.1876352000004</v>
      </c>
      <c r="C45">
        <f t="shared" si="5"/>
        <v>4061.4660809800002</v>
      </c>
      <c r="D45">
        <f t="shared" si="12"/>
        <v>2.7215542200001437</v>
      </c>
      <c r="E45">
        <f t="shared" si="6"/>
        <v>2712.4823726000004</v>
      </c>
      <c r="F45">
        <f t="shared" si="7"/>
        <v>2710.6680031199999</v>
      </c>
      <c r="G45">
        <f t="shared" si="13"/>
        <v>1.8143694800005505</v>
      </c>
      <c r="H45">
        <f t="shared" si="8"/>
        <v>2472.0784165</v>
      </c>
      <c r="I45">
        <f t="shared" si="9"/>
        <v>2480.69667153</v>
      </c>
      <c r="J45">
        <f t="shared" si="14"/>
        <v>8.6182550300000003</v>
      </c>
      <c r="L45" s="19">
        <f t="shared" si="10"/>
        <v>2472.6126328132623</v>
      </c>
      <c r="M45" s="19">
        <f t="shared" si="11"/>
        <v>0.53421631326227725</v>
      </c>
    </row>
    <row r="46" spans="2:13" x14ac:dyDescent="0.25">
      <c r="B46">
        <f t="shared" si="4"/>
        <v>4064.1876352000004</v>
      </c>
      <c r="C46">
        <f t="shared" si="5"/>
        <v>4066.0020046800005</v>
      </c>
      <c r="D46">
        <f t="shared" si="12"/>
        <v>1.8143694800000958</v>
      </c>
      <c r="E46">
        <f t="shared" si="6"/>
        <v>2712.4823726000004</v>
      </c>
      <c r="F46">
        <f t="shared" si="7"/>
        <v>2710.6680031199999</v>
      </c>
      <c r="G46">
        <f t="shared" si="13"/>
        <v>1.8143694800005505</v>
      </c>
      <c r="H46">
        <f t="shared" si="8"/>
        <v>771.10702900000001</v>
      </c>
      <c r="I46">
        <f t="shared" si="9"/>
        <v>775.18936033000011</v>
      </c>
      <c r="J46">
        <f t="shared" si="14"/>
        <v>4.0823313300001018</v>
      </c>
      <c r="L46" s="19">
        <f t="shared" si="10"/>
        <v>772.88019573622307</v>
      </c>
      <c r="M46" s="19">
        <f t="shared" si="11"/>
        <v>1.773166736223061</v>
      </c>
    </row>
    <row r="47" spans="2:13" x14ac:dyDescent="0.25">
      <c r="B47">
        <f t="shared" si="4"/>
        <v>4064.1876352000004</v>
      </c>
      <c r="C47">
        <f t="shared" si="5"/>
        <v>4061.4660809800002</v>
      </c>
      <c r="D47">
        <f t="shared" si="12"/>
        <v>2.7215542200001437</v>
      </c>
      <c r="E47">
        <f t="shared" si="6"/>
        <v>2712.4823726000004</v>
      </c>
      <c r="F47">
        <f t="shared" si="7"/>
        <v>2710.6680031199999</v>
      </c>
      <c r="G47">
        <f t="shared" si="13"/>
        <v>1.8143694800005505</v>
      </c>
      <c r="H47">
        <f t="shared" si="8"/>
        <v>0</v>
      </c>
      <c r="I47">
        <f t="shared" si="9"/>
        <v>1.8143694800000016</v>
      </c>
      <c r="J47">
        <f t="shared" si="14"/>
        <v>1.8143694800000016</v>
      </c>
      <c r="L47" s="19">
        <f t="shared" si="10"/>
        <v>2.1238645616612484</v>
      </c>
      <c r="M47" s="19">
        <f t="shared" si="11"/>
        <v>2.1238645616612484</v>
      </c>
    </row>
    <row r="48" spans="2:13" x14ac:dyDescent="0.25">
      <c r="B48">
        <f t="shared" si="4"/>
        <v>0</v>
      </c>
      <c r="C48">
        <f t="shared" si="5"/>
        <v>2.7215542199999772</v>
      </c>
      <c r="D48">
        <f t="shared" si="12"/>
        <v>2.7215542199999772</v>
      </c>
      <c r="E48">
        <f t="shared" si="6"/>
        <v>0</v>
      </c>
      <c r="F48">
        <f t="shared" si="7"/>
        <v>0.45359237000000041</v>
      </c>
      <c r="G48">
        <f t="shared" si="13"/>
        <v>0.45359237000000041</v>
      </c>
      <c r="H48">
        <f t="shared" si="8"/>
        <v>0</v>
      </c>
      <c r="I48">
        <f t="shared" si="9"/>
        <v>1.3607771100000012</v>
      </c>
      <c r="J48">
        <f t="shared" si="14"/>
        <v>1.3607771100000012</v>
      </c>
      <c r="L48" s="19">
        <f t="shared" si="10"/>
        <v>1.6718080624386311</v>
      </c>
      <c r="M48" s="19">
        <f t="shared" si="11"/>
        <v>1.6718080624386311</v>
      </c>
    </row>
    <row r="49" spans="3:13" x14ac:dyDescent="0.25">
      <c r="C49" t="s">
        <v>23</v>
      </c>
      <c r="D49" s="19">
        <f>AVERAGE(D33:D48)</f>
        <v>2.6648551737501305</v>
      </c>
      <c r="F49" t="s">
        <v>23</v>
      </c>
      <c r="G49" s="19">
        <f>AVERAGE(G33:G48)</f>
        <v>2.7499037431254281</v>
      </c>
      <c r="I49" t="s">
        <v>23</v>
      </c>
      <c r="J49" s="19">
        <f>AVERAGE(J33:J48)</f>
        <v>35.805447706875078</v>
      </c>
      <c r="L49" t="s">
        <v>23</v>
      </c>
      <c r="M49" s="19">
        <f>AVERAGE(M33:M48)</f>
        <v>3.8327624414323074</v>
      </c>
    </row>
    <row r="50" spans="3:13" x14ac:dyDescent="0.25">
      <c r="C50" t="s">
        <v>24</v>
      </c>
      <c r="D50" s="19">
        <f>MIN(D34:D48)</f>
        <v>1.8143694800000958</v>
      </c>
      <c r="F50" t="s">
        <v>24</v>
      </c>
      <c r="G50" s="19">
        <f>MIN(G34:G48)</f>
        <v>0</v>
      </c>
      <c r="I50" t="s">
        <v>24</v>
      </c>
      <c r="J50" s="19">
        <f>MIN(J34:J48)</f>
        <v>1.3607771100000012</v>
      </c>
      <c r="L50" t="s">
        <v>24</v>
      </c>
      <c r="M50" s="19">
        <f>MIN(M34:M48)</f>
        <v>0.53421631326227725</v>
      </c>
    </row>
    <row r="51" spans="3:13" x14ac:dyDescent="0.25">
      <c r="C51" t="s">
        <v>25</v>
      </c>
      <c r="D51" s="19">
        <f>MAX(D33:D48)</f>
        <v>2.7215542200001437</v>
      </c>
      <c r="F51" t="s">
        <v>25</v>
      </c>
      <c r="G51" s="19">
        <f>MAX(G33:G48)</f>
        <v>6.3502931800003353</v>
      </c>
      <c r="I51" t="s">
        <v>25</v>
      </c>
      <c r="J51" s="19">
        <f>MAX(J33:J48)</f>
        <v>81.193034230000194</v>
      </c>
      <c r="L51" t="s">
        <v>25</v>
      </c>
      <c r="M51" s="19">
        <f>MAX(M33:M48)</f>
        <v>9.8381922912521986</v>
      </c>
    </row>
  </sheetData>
  <mergeCells count="1">
    <mergeCell ref="B2:D2"/>
  </mergeCells>
  <conditionalFormatting sqref="D29:D48 G29:G48 J29:J48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 Milliren</dc:creator>
  <cp:lastModifiedBy>Chris M Milliren</cp:lastModifiedBy>
  <dcterms:created xsi:type="dcterms:W3CDTF">2026-06-02T16:41:33Z</dcterms:created>
  <dcterms:modified xsi:type="dcterms:W3CDTF">2026-06-02T17:31:46Z</dcterms:modified>
</cp:coreProperties>
</file>